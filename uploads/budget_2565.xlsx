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2840" activeTab="3"/>
  </bookViews>
  <sheets>
    <sheet name="Note" sheetId="2" r:id="rId1"/>
    <sheet name="ประมาณการายจ่าย" sheetId="1" r:id="rId2"/>
    <sheet name="รายการจัดสรร" sheetId="108" r:id="rId3"/>
    <sheet name="งปม.เข้า" sheetId="3" r:id="rId4"/>
    <sheet name="จัดสรร งปม." sheetId="4" r:id="rId5"/>
    <sheet name="101" sheetId="5" r:id="rId6"/>
    <sheet name="102" sheetId="6" r:id="rId7"/>
    <sheet name="103" sheetId="7" r:id="rId8"/>
    <sheet name="104" sheetId="8" r:id="rId9"/>
    <sheet name="105" sheetId="9" r:id="rId10"/>
    <sheet name="201" sheetId="10" r:id="rId11"/>
    <sheet name="202" sheetId="11" r:id="rId12"/>
    <sheet name="203" sheetId="12" r:id="rId13"/>
    <sheet name="204" sheetId="13" r:id="rId14"/>
    <sheet name="205" sheetId="14" r:id="rId15"/>
    <sheet name="206" sheetId="15" r:id="rId16"/>
    <sheet name="207" sheetId="16" r:id="rId17"/>
    <sheet name="208" sheetId="17" r:id="rId18"/>
    <sheet name="209" sheetId="18" r:id="rId19"/>
    <sheet name="210" sheetId="19" r:id="rId20"/>
    <sheet name="211" sheetId="20" r:id="rId21"/>
    <sheet name="212" sheetId="21" r:id="rId22"/>
    <sheet name="213" sheetId="22" r:id="rId23"/>
    <sheet name="214" sheetId="23" r:id="rId24"/>
    <sheet name="301" sheetId="24" r:id="rId25"/>
    <sheet name="302" sheetId="25" r:id="rId26"/>
    <sheet name="303" sheetId="26" r:id="rId27"/>
    <sheet name="304" sheetId="27" r:id="rId28"/>
    <sheet name="305" sheetId="28" r:id="rId29"/>
    <sheet name="306" sheetId="29" r:id="rId30"/>
    <sheet name="307" sheetId="30" r:id="rId31"/>
    <sheet name="308" sheetId="31" r:id="rId32"/>
    <sheet name="309" sheetId="32" r:id="rId33"/>
    <sheet name="310" sheetId="33" r:id="rId34"/>
    <sheet name="311" sheetId="34" r:id="rId35"/>
    <sheet name="312" sheetId="35" r:id="rId36"/>
    <sheet name="313" sheetId="36" r:id="rId37"/>
    <sheet name="314" sheetId="37" r:id="rId38"/>
    <sheet name="401" sheetId="38" r:id="rId39"/>
    <sheet name="402" sheetId="39" r:id="rId40"/>
    <sheet name="403" sheetId="40" r:id="rId41"/>
    <sheet name="404" sheetId="41" r:id="rId42"/>
    <sheet name="405" sheetId="42" r:id="rId43"/>
    <sheet name="406" sheetId="43" r:id="rId44"/>
    <sheet name="407" sheetId="44" r:id="rId45"/>
    <sheet name="408" sheetId="45" r:id="rId46"/>
    <sheet name="409" sheetId="46" r:id="rId47"/>
    <sheet name="410" sheetId="47" r:id="rId48"/>
    <sheet name="411" sheetId="48" r:id="rId49"/>
    <sheet name="412" sheetId="49" r:id="rId50"/>
    <sheet name="413" sheetId="50" r:id="rId51"/>
    <sheet name="414" sheetId="51" r:id="rId52"/>
    <sheet name="415" sheetId="52" r:id="rId53"/>
    <sheet name="416" sheetId="53" r:id="rId54"/>
    <sheet name="417" sheetId="54" r:id="rId55"/>
    <sheet name="501" sheetId="55" r:id="rId56"/>
    <sheet name="502" sheetId="56" r:id="rId57"/>
    <sheet name="503" sheetId="57" r:id="rId58"/>
    <sheet name="504" sheetId="58" r:id="rId59"/>
    <sheet name="505" sheetId="59" r:id="rId60"/>
    <sheet name="506" sheetId="60" r:id="rId61"/>
    <sheet name="507" sheetId="61" r:id="rId62"/>
    <sheet name="508" sheetId="62" r:id="rId63"/>
    <sheet name="601" sheetId="63" r:id="rId64"/>
    <sheet name="602" sheetId="64" r:id="rId65"/>
    <sheet name="603" sheetId="65" r:id="rId66"/>
    <sheet name="604" sheetId="66" r:id="rId67"/>
    <sheet name="605" sheetId="67" r:id="rId68"/>
    <sheet name="606" sheetId="68" r:id="rId69"/>
    <sheet name="607" sheetId="69" r:id="rId70"/>
    <sheet name="608" sheetId="70" r:id="rId71"/>
    <sheet name="609" sheetId="71" r:id="rId72"/>
    <sheet name="610" sheetId="72" r:id="rId73"/>
    <sheet name="701" sheetId="73" r:id="rId74"/>
    <sheet name="702" sheetId="74" r:id="rId75"/>
    <sheet name="703" sheetId="75" r:id="rId76"/>
    <sheet name="704" sheetId="76" r:id="rId77"/>
    <sheet name="705" sheetId="77" r:id="rId78"/>
    <sheet name="801" sheetId="78" r:id="rId79"/>
    <sheet name="802" sheetId="79" r:id="rId80"/>
    <sheet name="803" sheetId="80" r:id="rId81"/>
    <sheet name="804" sheetId="81" r:id="rId82"/>
    <sheet name="805" sheetId="82" r:id="rId83"/>
    <sheet name="806" sheetId="83" r:id="rId84"/>
    <sheet name="807" sheetId="84" r:id="rId85"/>
    <sheet name="808" sheetId="85" r:id="rId86"/>
    <sheet name="809" sheetId="86" r:id="rId87"/>
    <sheet name="810" sheetId="87" r:id="rId88"/>
    <sheet name="901" sheetId="88" r:id="rId89"/>
    <sheet name="902" sheetId="89" r:id="rId90"/>
    <sheet name="903" sheetId="90" r:id="rId91"/>
    <sheet name="904" sheetId="91" r:id="rId92"/>
    <sheet name="905" sheetId="92" r:id="rId93"/>
    <sheet name="906" sheetId="93" r:id="rId94"/>
    <sheet name="907" sheetId="94" r:id="rId95"/>
    <sheet name="908" sheetId="95" r:id="rId96"/>
    <sheet name="909" sheetId="96" r:id="rId97"/>
    <sheet name="910" sheetId="97" r:id="rId98"/>
    <sheet name="911" sheetId="98" r:id="rId99"/>
    <sheet name="912" sheetId="99" r:id="rId100"/>
    <sheet name="913" sheetId="100" r:id="rId101"/>
    <sheet name="914" sheetId="101" r:id="rId102"/>
    <sheet name="915" sheetId="102" r:id="rId103"/>
    <sheet name="916" sheetId="103" r:id="rId104"/>
    <sheet name="917" sheetId="104" r:id="rId105"/>
    <sheet name="918" sheetId="105" r:id="rId106"/>
    <sheet name="919" sheetId="106" r:id="rId107"/>
    <sheet name="920" sheetId="107" r:id="rId108"/>
  </sheets>
  <calcPr calcId="145621"/>
</workbook>
</file>

<file path=xl/calcChain.xml><?xml version="1.0" encoding="utf-8"?>
<calcChain xmlns="http://schemas.openxmlformats.org/spreadsheetml/2006/main">
  <c r="P57" i="4" l="1"/>
  <c r="F47" i="4"/>
  <c r="F52" i="4" l="1"/>
  <c r="F48" i="4" l="1"/>
  <c r="P41" i="4" l="1"/>
  <c r="L6" i="33"/>
  <c r="M6" i="33"/>
  <c r="N6" i="33"/>
  <c r="O6" i="33"/>
  <c r="P6" i="33"/>
  <c r="M5" i="33"/>
  <c r="M7" i="33" s="1"/>
  <c r="N5" i="33"/>
  <c r="N7" i="33" s="1"/>
  <c r="P5" i="33"/>
  <c r="P7" i="33" s="1"/>
  <c r="N40" i="4"/>
  <c r="O5" i="33" s="1"/>
  <c r="F57" i="4"/>
  <c r="N7" i="49"/>
  <c r="M6" i="49"/>
  <c r="N6" i="49"/>
  <c r="O6" i="49"/>
  <c r="P6" i="49"/>
  <c r="P5" i="49"/>
  <c r="M5" i="49"/>
  <c r="M7" i="49" s="1"/>
  <c r="N5" i="49"/>
  <c r="O5" i="49"/>
  <c r="O7" i="49" s="1"/>
  <c r="G38" i="4"/>
  <c r="O7" i="33" l="1"/>
  <c r="F49" i="4"/>
  <c r="N5" i="93" l="1"/>
  <c r="G22" i="4" l="1"/>
  <c r="G37" i="4"/>
  <c r="O65" i="4"/>
  <c r="N54" i="4"/>
  <c r="M8" i="4" l="1"/>
  <c r="N10" i="5"/>
  <c r="M10" i="5"/>
  <c r="L4" i="4"/>
  <c r="M5" i="4"/>
  <c r="O64" i="4" l="1"/>
  <c r="D66" i="4"/>
  <c r="P53" i="4" l="1"/>
  <c r="I4" i="3" l="1"/>
  <c r="J4" i="3"/>
  <c r="K4" i="3"/>
  <c r="L4" i="3"/>
  <c r="N4" i="3"/>
  <c r="M4" i="4" s="1"/>
  <c r="M6" i="4" s="1"/>
  <c r="O4" i="3"/>
  <c r="P4" i="3"/>
  <c r="Q4" i="3"/>
  <c r="P4" i="4" s="1"/>
  <c r="R4" i="3"/>
  <c r="G4" i="3"/>
  <c r="H4" i="3"/>
  <c r="F4" i="3"/>
  <c r="E4" i="3"/>
  <c r="Q7" i="3"/>
  <c r="P6" i="3"/>
  <c r="O5" i="4"/>
  <c r="P5" i="92"/>
  <c r="O6" i="92"/>
  <c r="O5" i="92"/>
  <c r="P10" i="5"/>
  <c r="P10" i="6"/>
  <c r="P10" i="7"/>
  <c r="P10" i="8"/>
  <c r="P10" i="9"/>
  <c r="P10" i="10"/>
  <c r="P10" i="11"/>
  <c r="P10" i="12"/>
  <c r="P10" i="13"/>
  <c r="P10" i="14"/>
  <c r="P10" i="15"/>
  <c r="P10" i="16"/>
  <c r="P10" i="17"/>
  <c r="P10" i="18"/>
  <c r="P10" i="19"/>
  <c r="P10" i="20"/>
  <c r="P10" i="21"/>
  <c r="P10" i="22"/>
  <c r="P10" i="23"/>
  <c r="P10" i="24"/>
  <c r="P10" i="25"/>
  <c r="P10" i="26"/>
  <c r="P10" i="27"/>
  <c r="P10" i="28"/>
  <c r="P10" i="29"/>
  <c r="P10" i="30"/>
  <c r="P10" i="31"/>
  <c r="P10" i="32"/>
  <c r="P10" i="33"/>
  <c r="P10" i="34"/>
  <c r="P10" i="35"/>
  <c r="P10" i="36"/>
  <c r="P10" i="37"/>
  <c r="P10" i="38"/>
  <c r="P10" i="39"/>
  <c r="P10" i="40"/>
  <c r="P10" i="41"/>
  <c r="P10" i="42"/>
  <c r="P10" i="43"/>
  <c r="P10" i="44"/>
  <c r="P10" i="45"/>
  <c r="P10" i="46"/>
  <c r="P10" i="47"/>
  <c r="P10" i="48"/>
  <c r="P10" i="49"/>
  <c r="P10" i="50"/>
  <c r="P10" i="51"/>
  <c r="P10" i="52"/>
  <c r="P10" i="53"/>
  <c r="P10" i="54"/>
  <c r="P10" i="55"/>
  <c r="P10" i="56"/>
  <c r="P10" i="57"/>
  <c r="P10" i="58"/>
  <c r="P10" i="59"/>
  <c r="P10" i="60"/>
  <c r="P10" i="61"/>
  <c r="P10" i="62"/>
  <c r="P10" i="63"/>
  <c r="P10" i="64"/>
  <c r="P10" i="65"/>
  <c r="P10" i="66"/>
  <c r="P10" i="67"/>
  <c r="P10" i="68"/>
  <c r="P10" i="69"/>
  <c r="P10" i="70"/>
  <c r="P10" i="71"/>
  <c r="P10" i="72"/>
  <c r="P10" i="73"/>
  <c r="P10" i="74"/>
  <c r="P10" i="75"/>
  <c r="P10" i="76"/>
  <c r="P10" i="77"/>
  <c r="P10" i="78"/>
  <c r="P10" i="79"/>
  <c r="P10" i="80"/>
  <c r="P10" i="81"/>
  <c r="P10" i="82"/>
  <c r="P10" i="83"/>
  <c r="P10" i="84"/>
  <c r="P10" i="85"/>
  <c r="P10" i="86"/>
  <c r="P10" i="87"/>
  <c r="P10" i="88"/>
  <c r="P10" i="89"/>
  <c r="P10" i="90"/>
  <c r="P10" i="91"/>
  <c r="P10" i="92"/>
  <c r="P10" i="93"/>
  <c r="P10" i="94"/>
  <c r="P10" i="95"/>
  <c r="P10" i="96"/>
  <c r="P10" i="97"/>
  <c r="P10" i="98"/>
  <c r="P10" i="99"/>
  <c r="P10" i="100"/>
  <c r="P10" i="101"/>
  <c r="P10" i="102"/>
  <c r="P10" i="103"/>
  <c r="P10" i="104"/>
  <c r="P10" i="105"/>
  <c r="P10" i="106"/>
  <c r="P10" i="107"/>
  <c r="O10" i="5"/>
  <c r="O10" i="6"/>
  <c r="O10" i="7"/>
  <c r="O10" i="8"/>
  <c r="O10" i="9"/>
  <c r="O10" i="10"/>
  <c r="O10" i="11"/>
  <c r="O10" i="12"/>
  <c r="O10" i="13"/>
  <c r="O10" i="14"/>
  <c r="O10" i="15"/>
  <c r="O10" i="16"/>
  <c r="O10" i="17"/>
  <c r="O10" i="18"/>
  <c r="O10" i="19"/>
  <c r="O10" i="20"/>
  <c r="O10" i="21"/>
  <c r="O10" i="22"/>
  <c r="O10" i="23"/>
  <c r="O10" i="24"/>
  <c r="O10" i="25"/>
  <c r="O10" i="26"/>
  <c r="O10" i="27"/>
  <c r="O10" i="28"/>
  <c r="O10" i="29"/>
  <c r="O10" i="30"/>
  <c r="O10" i="31"/>
  <c r="O10" i="32"/>
  <c r="O10" i="33"/>
  <c r="O10" i="34"/>
  <c r="O10" i="35"/>
  <c r="O10" i="36"/>
  <c r="O10" i="37"/>
  <c r="O10" i="38"/>
  <c r="O10" i="39"/>
  <c r="O10" i="40"/>
  <c r="O10" i="41"/>
  <c r="O10" i="42"/>
  <c r="O10" i="43"/>
  <c r="O10" i="44"/>
  <c r="O10" i="45"/>
  <c r="O10" i="46"/>
  <c r="O10" i="47"/>
  <c r="O10" i="48"/>
  <c r="O10" i="49"/>
  <c r="O10" i="50"/>
  <c r="O10" i="51"/>
  <c r="O10" i="52"/>
  <c r="O10" i="53"/>
  <c r="O10" i="54"/>
  <c r="O10" i="55"/>
  <c r="O10" i="56"/>
  <c r="O10" i="57"/>
  <c r="O10" i="58"/>
  <c r="O10" i="59"/>
  <c r="O10" i="60"/>
  <c r="O10" i="61"/>
  <c r="O10" i="62"/>
  <c r="O10" i="63"/>
  <c r="O10" i="64"/>
  <c r="O10" i="65"/>
  <c r="O10" i="66"/>
  <c r="O10" i="67"/>
  <c r="O10" i="68"/>
  <c r="O10" i="69"/>
  <c r="O10" i="70"/>
  <c r="O10" i="71"/>
  <c r="O10" i="72"/>
  <c r="O10" i="73"/>
  <c r="O10" i="74"/>
  <c r="O10" i="75"/>
  <c r="O10" i="76"/>
  <c r="O10" i="77"/>
  <c r="O10" i="78"/>
  <c r="O10" i="79"/>
  <c r="O10" i="80"/>
  <c r="O10" i="81"/>
  <c r="O10" i="82"/>
  <c r="O10" i="83"/>
  <c r="O10" i="84"/>
  <c r="O10" i="85"/>
  <c r="O10" i="86"/>
  <c r="O10" i="87"/>
  <c r="O10" i="88"/>
  <c r="O10" i="89"/>
  <c r="O10" i="90"/>
  <c r="O10" i="91"/>
  <c r="O10" i="92"/>
  <c r="O10" i="93"/>
  <c r="O10" i="94"/>
  <c r="O10" i="95"/>
  <c r="O10" i="96"/>
  <c r="O10" i="97"/>
  <c r="O10" i="98"/>
  <c r="O10" i="99"/>
  <c r="O10" i="100"/>
  <c r="O10" i="101"/>
  <c r="O10" i="102"/>
  <c r="O10" i="103"/>
  <c r="O10" i="104"/>
  <c r="O10" i="105"/>
  <c r="O10" i="106"/>
  <c r="O10" i="107"/>
  <c r="P5" i="56"/>
  <c r="P5" i="55"/>
  <c r="S11" i="35"/>
  <c r="O7" i="92" l="1"/>
  <c r="D67" i="4"/>
  <c r="D68" i="4"/>
  <c r="J35" i="4"/>
  <c r="H10" i="30"/>
  <c r="H10" i="25" l="1"/>
  <c r="G95" i="4" l="1"/>
  <c r="J93" i="4" l="1"/>
  <c r="D46" i="4"/>
  <c r="F32" i="4" l="1"/>
  <c r="F40" i="4"/>
  <c r="F34" i="4"/>
  <c r="G35" i="4"/>
  <c r="F35" i="4"/>
  <c r="H10" i="16"/>
  <c r="G21" i="4"/>
  <c r="G17" i="4"/>
  <c r="O4" i="4" l="1"/>
  <c r="O6" i="4" s="1"/>
  <c r="O8" i="4"/>
  <c r="Q5" i="108" l="1"/>
  <c r="Q6" i="108"/>
  <c r="Q7" i="108"/>
  <c r="Q8" i="108"/>
  <c r="Q9" i="108"/>
  <c r="Q10" i="108"/>
  <c r="Q11" i="108"/>
  <c r="Q12" i="108"/>
  <c r="Q13" i="108"/>
  <c r="Q14" i="108"/>
  <c r="Q15" i="108"/>
  <c r="Q16" i="108"/>
  <c r="Q17" i="108"/>
  <c r="Q18" i="108"/>
  <c r="Q19" i="108"/>
  <c r="Q20" i="108"/>
  <c r="Q21" i="108"/>
  <c r="Q22" i="108"/>
  <c r="Q23" i="108"/>
  <c r="Q24" i="108"/>
  <c r="Q25" i="108"/>
  <c r="Q26" i="108"/>
  <c r="Q27" i="108"/>
  <c r="Q28" i="108"/>
  <c r="Q29" i="108"/>
  <c r="Q30" i="108"/>
  <c r="Q31" i="108"/>
  <c r="Q32" i="108"/>
  <c r="Q33" i="108"/>
  <c r="Q34" i="108"/>
  <c r="Q35" i="108"/>
  <c r="Q36" i="108"/>
  <c r="Q37" i="108"/>
  <c r="Q38" i="108"/>
  <c r="Q39" i="108"/>
  <c r="E40" i="108"/>
  <c r="F40" i="108"/>
  <c r="G40" i="108"/>
  <c r="H40" i="108"/>
  <c r="I40" i="108"/>
  <c r="J40" i="108"/>
  <c r="K40" i="108"/>
  <c r="L40" i="108"/>
  <c r="M40" i="108"/>
  <c r="N40" i="108"/>
  <c r="O40" i="108"/>
  <c r="P40" i="108"/>
  <c r="Q40" i="108" l="1"/>
  <c r="S2" i="4"/>
  <c r="S58" i="3" l="1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C8" i="45" l="1"/>
  <c r="E5" i="107"/>
  <c r="F5" i="107"/>
  <c r="G5" i="107"/>
  <c r="H5" i="107"/>
  <c r="I5" i="107"/>
  <c r="J5" i="107"/>
  <c r="K5" i="107"/>
  <c r="L5" i="107"/>
  <c r="N5" i="107"/>
  <c r="P5" i="107"/>
  <c r="Q5" i="107"/>
  <c r="R5" i="107"/>
  <c r="C9" i="107"/>
  <c r="C8" i="107"/>
  <c r="E5" i="106"/>
  <c r="F5" i="106"/>
  <c r="G5" i="106"/>
  <c r="H5" i="106"/>
  <c r="I5" i="106"/>
  <c r="J5" i="106"/>
  <c r="K5" i="106"/>
  <c r="L5" i="106"/>
  <c r="N5" i="106"/>
  <c r="P5" i="106"/>
  <c r="Q5" i="106"/>
  <c r="R5" i="106"/>
  <c r="C9" i="106"/>
  <c r="C8" i="106"/>
  <c r="E5" i="105"/>
  <c r="F5" i="105"/>
  <c r="G5" i="105"/>
  <c r="G7" i="105" s="1"/>
  <c r="H5" i="105"/>
  <c r="I5" i="105"/>
  <c r="J5" i="105"/>
  <c r="K5" i="105"/>
  <c r="K7" i="105" s="1"/>
  <c r="L5" i="105"/>
  <c r="N5" i="105"/>
  <c r="P5" i="105"/>
  <c r="Q5" i="105"/>
  <c r="Q7" i="105" s="1"/>
  <c r="R5" i="105"/>
  <c r="C9" i="105"/>
  <c r="C8" i="105"/>
  <c r="E5" i="104"/>
  <c r="F5" i="104"/>
  <c r="G5" i="104"/>
  <c r="H5" i="104"/>
  <c r="I5" i="104"/>
  <c r="J5" i="104"/>
  <c r="K5" i="104"/>
  <c r="L5" i="104"/>
  <c r="N5" i="104"/>
  <c r="P5" i="104"/>
  <c r="Q5" i="104"/>
  <c r="R5" i="104"/>
  <c r="C9" i="104"/>
  <c r="C8" i="104"/>
  <c r="E5" i="103"/>
  <c r="F5" i="103"/>
  <c r="G5" i="103"/>
  <c r="G7" i="103" s="1"/>
  <c r="H5" i="103"/>
  <c r="I5" i="103"/>
  <c r="J5" i="103"/>
  <c r="K5" i="103"/>
  <c r="K7" i="103" s="1"/>
  <c r="L5" i="103"/>
  <c r="N5" i="103"/>
  <c r="P5" i="103"/>
  <c r="Q5" i="103"/>
  <c r="Q7" i="103" s="1"/>
  <c r="R5" i="103"/>
  <c r="C9" i="103"/>
  <c r="C8" i="103"/>
  <c r="E5" i="102"/>
  <c r="F5" i="102"/>
  <c r="G5" i="102"/>
  <c r="H5" i="102"/>
  <c r="I5" i="102"/>
  <c r="I7" i="102" s="1"/>
  <c r="J5" i="102"/>
  <c r="K5" i="102"/>
  <c r="L5" i="102"/>
  <c r="N5" i="102"/>
  <c r="N7" i="102" s="1"/>
  <c r="P5" i="102"/>
  <c r="Q5" i="102"/>
  <c r="R5" i="102"/>
  <c r="C9" i="102"/>
  <c r="C8" i="102"/>
  <c r="E5" i="101"/>
  <c r="F5" i="101"/>
  <c r="G5" i="101"/>
  <c r="H5" i="101"/>
  <c r="I5" i="101"/>
  <c r="J5" i="101"/>
  <c r="K5" i="101"/>
  <c r="L5" i="101"/>
  <c r="N5" i="101"/>
  <c r="P5" i="101"/>
  <c r="Q5" i="101"/>
  <c r="R5" i="101"/>
  <c r="C9" i="101"/>
  <c r="C8" i="101"/>
  <c r="E5" i="100"/>
  <c r="F5" i="100"/>
  <c r="G5" i="100"/>
  <c r="H5" i="100"/>
  <c r="I5" i="100"/>
  <c r="J5" i="100"/>
  <c r="K5" i="100"/>
  <c r="L5" i="100"/>
  <c r="N5" i="100"/>
  <c r="P5" i="100"/>
  <c r="Q5" i="100"/>
  <c r="R5" i="100"/>
  <c r="C9" i="100"/>
  <c r="C8" i="100"/>
  <c r="E5" i="99"/>
  <c r="F5" i="99"/>
  <c r="G5" i="99"/>
  <c r="H5" i="99"/>
  <c r="I5" i="99"/>
  <c r="J5" i="99"/>
  <c r="K5" i="99"/>
  <c r="L5" i="99"/>
  <c r="N5" i="99"/>
  <c r="P5" i="99"/>
  <c r="Q5" i="99"/>
  <c r="R5" i="99"/>
  <c r="C9" i="99"/>
  <c r="C8" i="99"/>
  <c r="E5" i="98"/>
  <c r="F5" i="98"/>
  <c r="G5" i="98"/>
  <c r="H5" i="98"/>
  <c r="I5" i="98"/>
  <c r="J5" i="98"/>
  <c r="K5" i="98"/>
  <c r="L5" i="98"/>
  <c r="N5" i="98"/>
  <c r="P5" i="98"/>
  <c r="Q5" i="98"/>
  <c r="R5" i="98"/>
  <c r="C9" i="98"/>
  <c r="C8" i="98"/>
  <c r="E5" i="97"/>
  <c r="F5" i="97"/>
  <c r="G5" i="97"/>
  <c r="H5" i="97"/>
  <c r="I5" i="97"/>
  <c r="J5" i="97"/>
  <c r="K5" i="97"/>
  <c r="L5" i="97"/>
  <c r="N5" i="97"/>
  <c r="P5" i="97"/>
  <c r="Q5" i="97"/>
  <c r="R5" i="97"/>
  <c r="C9" i="97"/>
  <c r="C8" i="97"/>
  <c r="E5" i="96"/>
  <c r="F5" i="96"/>
  <c r="G5" i="96"/>
  <c r="H5" i="96"/>
  <c r="I5" i="96"/>
  <c r="J5" i="96"/>
  <c r="K5" i="96"/>
  <c r="L5" i="96"/>
  <c r="N5" i="96"/>
  <c r="P5" i="96"/>
  <c r="Q5" i="96"/>
  <c r="R5" i="96"/>
  <c r="C9" i="96"/>
  <c r="C8" i="96"/>
  <c r="E5" i="95"/>
  <c r="F5" i="95"/>
  <c r="G5" i="95"/>
  <c r="G7" i="95" s="1"/>
  <c r="H5" i="95"/>
  <c r="I5" i="95"/>
  <c r="J5" i="95"/>
  <c r="K5" i="95"/>
  <c r="K7" i="95" s="1"/>
  <c r="L5" i="95"/>
  <c r="N5" i="95"/>
  <c r="P5" i="95"/>
  <c r="Q5" i="95"/>
  <c r="R5" i="95"/>
  <c r="C9" i="95"/>
  <c r="C8" i="95"/>
  <c r="E5" i="94"/>
  <c r="F5" i="94"/>
  <c r="G5" i="94"/>
  <c r="H5" i="94"/>
  <c r="I5" i="94"/>
  <c r="I7" i="94" s="1"/>
  <c r="J5" i="94"/>
  <c r="K5" i="94"/>
  <c r="L5" i="94"/>
  <c r="N5" i="94"/>
  <c r="N7" i="94" s="1"/>
  <c r="P5" i="94"/>
  <c r="Q5" i="94"/>
  <c r="R5" i="94"/>
  <c r="C9" i="94"/>
  <c r="C8" i="94"/>
  <c r="E5" i="93"/>
  <c r="F5" i="93"/>
  <c r="G5" i="93"/>
  <c r="H5" i="93"/>
  <c r="I5" i="93"/>
  <c r="J5" i="93"/>
  <c r="K5" i="93"/>
  <c r="L5" i="93"/>
  <c r="P5" i="93"/>
  <c r="Q5" i="93"/>
  <c r="R5" i="93"/>
  <c r="R7" i="93" s="1"/>
  <c r="C9" i="93"/>
  <c r="C8" i="93"/>
  <c r="E5" i="92"/>
  <c r="F5" i="92"/>
  <c r="F7" i="92" s="1"/>
  <c r="G5" i="92"/>
  <c r="H5" i="92"/>
  <c r="I5" i="92"/>
  <c r="J5" i="92"/>
  <c r="J7" i="92" s="1"/>
  <c r="K5" i="92"/>
  <c r="L5" i="92"/>
  <c r="N5" i="92"/>
  <c r="Q5" i="92"/>
  <c r="R5" i="92"/>
  <c r="C9" i="92"/>
  <c r="C8" i="92"/>
  <c r="E5" i="91"/>
  <c r="F5" i="91"/>
  <c r="G5" i="91"/>
  <c r="H5" i="91"/>
  <c r="I5" i="91"/>
  <c r="J5" i="91"/>
  <c r="K5" i="91"/>
  <c r="L5" i="91"/>
  <c r="N5" i="91"/>
  <c r="P5" i="91"/>
  <c r="Q5" i="91"/>
  <c r="R5" i="91"/>
  <c r="C9" i="91"/>
  <c r="C8" i="91"/>
  <c r="E5" i="90"/>
  <c r="F5" i="90"/>
  <c r="G5" i="90"/>
  <c r="H5" i="90"/>
  <c r="I5" i="90"/>
  <c r="J5" i="90"/>
  <c r="K5" i="90"/>
  <c r="L5" i="90"/>
  <c r="N5" i="90"/>
  <c r="P5" i="90"/>
  <c r="Q5" i="90"/>
  <c r="R5" i="90"/>
  <c r="C9" i="90"/>
  <c r="C8" i="90"/>
  <c r="E5" i="89"/>
  <c r="F5" i="89"/>
  <c r="G5" i="89"/>
  <c r="H5" i="89"/>
  <c r="I5" i="89"/>
  <c r="J5" i="89"/>
  <c r="K5" i="89"/>
  <c r="L5" i="89"/>
  <c r="N5" i="89"/>
  <c r="P5" i="89"/>
  <c r="Q5" i="89"/>
  <c r="R5" i="89"/>
  <c r="C9" i="89"/>
  <c r="C8" i="89"/>
  <c r="E5" i="88"/>
  <c r="F5" i="88"/>
  <c r="G5" i="88"/>
  <c r="H5" i="88"/>
  <c r="I5" i="88"/>
  <c r="J5" i="88"/>
  <c r="K5" i="88"/>
  <c r="L5" i="88"/>
  <c r="N5" i="88"/>
  <c r="P5" i="88"/>
  <c r="Q5" i="88"/>
  <c r="R5" i="88"/>
  <c r="C9" i="88"/>
  <c r="C8" i="88"/>
  <c r="S45" i="107"/>
  <c r="S44" i="107"/>
  <c r="S43" i="107"/>
  <c r="S42" i="107"/>
  <c r="S41" i="107"/>
  <c r="S40" i="107"/>
  <c r="S39" i="107"/>
  <c r="S38" i="107"/>
  <c r="S37" i="107"/>
  <c r="S36" i="107"/>
  <c r="S35" i="107"/>
  <c r="S34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S21" i="107"/>
  <c r="S20" i="107"/>
  <c r="S19" i="107"/>
  <c r="S18" i="107"/>
  <c r="S17" i="107"/>
  <c r="S16" i="107"/>
  <c r="S15" i="107"/>
  <c r="S14" i="107"/>
  <c r="S13" i="107"/>
  <c r="S12" i="107"/>
  <c r="S11" i="107"/>
  <c r="R6" i="107"/>
  <c r="Q6" i="107"/>
  <c r="P6" i="107"/>
  <c r="P7" i="107" s="1"/>
  <c r="N6" i="107"/>
  <c r="N7" i="107" s="1"/>
  <c r="L6" i="107"/>
  <c r="L7" i="107" s="1"/>
  <c r="K6" i="107"/>
  <c r="J6" i="107"/>
  <c r="I6" i="107"/>
  <c r="I7" i="107" s="1"/>
  <c r="H6" i="107"/>
  <c r="H7" i="107" s="1"/>
  <c r="G6" i="107"/>
  <c r="F6" i="107"/>
  <c r="F7" i="107" s="1"/>
  <c r="E6" i="107"/>
  <c r="R7" i="107"/>
  <c r="J7" i="107"/>
  <c r="E2" i="107"/>
  <c r="S45" i="106"/>
  <c r="S44" i="106"/>
  <c r="S43" i="106"/>
  <c r="S42" i="106"/>
  <c r="S41" i="106"/>
  <c r="S40" i="106"/>
  <c r="S39" i="106"/>
  <c r="S38" i="106"/>
  <c r="S37" i="106"/>
  <c r="S36" i="106"/>
  <c r="S35" i="106"/>
  <c r="S34" i="106"/>
  <c r="S33" i="106"/>
  <c r="S32" i="106"/>
  <c r="S31" i="106"/>
  <c r="S30" i="106"/>
  <c r="S29" i="106"/>
  <c r="S28" i="106"/>
  <c r="S27" i="106"/>
  <c r="S26" i="106"/>
  <c r="S25" i="106"/>
  <c r="S24" i="106"/>
  <c r="S23" i="106"/>
  <c r="S22" i="106"/>
  <c r="S21" i="106"/>
  <c r="S20" i="106"/>
  <c r="S19" i="106"/>
  <c r="S18" i="106"/>
  <c r="S17" i="106"/>
  <c r="S16" i="106"/>
  <c r="S15" i="106"/>
  <c r="S14" i="106"/>
  <c r="S13" i="106"/>
  <c r="S12" i="106"/>
  <c r="S6" i="106" s="1"/>
  <c r="S119" i="4" s="1"/>
  <c r="S11" i="106"/>
  <c r="R6" i="106"/>
  <c r="Q6" i="106"/>
  <c r="P6" i="106"/>
  <c r="N6" i="106"/>
  <c r="L6" i="106"/>
  <c r="L7" i="106" s="1"/>
  <c r="K6" i="106"/>
  <c r="K7" i="106" s="1"/>
  <c r="J6" i="106"/>
  <c r="J7" i="106" s="1"/>
  <c r="I6" i="106"/>
  <c r="H6" i="106"/>
  <c r="H7" i="106" s="1"/>
  <c r="G6" i="106"/>
  <c r="G7" i="106" s="1"/>
  <c r="F6" i="106"/>
  <c r="E6" i="106"/>
  <c r="R7" i="106"/>
  <c r="Q7" i="106"/>
  <c r="P7" i="106"/>
  <c r="F7" i="106"/>
  <c r="E2" i="106"/>
  <c r="S45" i="105"/>
  <c r="S44" i="105"/>
  <c r="S43" i="105"/>
  <c r="S42" i="105"/>
  <c r="S41" i="105"/>
  <c r="S40" i="105"/>
  <c r="S39" i="105"/>
  <c r="S38" i="105"/>
  <c r="S37" i="105"/>
  <c r="S36" i="105"/>
  <c r="S35" i="105"/>
  <c r="S34" i="105"/>
  <c r="S33" i="105"/>
  <c r="S32" i="105"/>
  <c r="S31" i="105"/>
  <c r="S30" i="105"/>
  <c r="S29" i="105"/>
  <c r="S28" i="105"/>
  <c r="S27" i="105"/>
  <c r="S26" i="105"/>
  <c r="S25" i="105"/>
  <c r="S24" i="105"/>
  <c r="S23" i="105"/>
  <c r="S22" i="105"/>
  <c r="S21" i="105"/>
  <c r="S20" i="105"/>
  <c r="S19" i="105"/>
  <c r="S18" i="105"/>
  <c r="S17" i="105"/>
  <c r="S16" i="105"/>
  <c r="S15" i="105"/>
  <c r="S14" i="105"/>
  <c r="S13" i="105"/>
  <c r="S12" i="105"/>
  <c r="S11" i="105"/>
  <c r="S6" i="105" s="1"/>
  <c r="R6" i="105"/>
  <c r="Q6" i="105"/>
  <c r="P6" i="105"/>
  <c r="N6" i="105"/>
  <c r="L6" i="105"/>
  <c r="K6" i="105"/>
  <c r="J6" i="105"/>
  <c r="I6" i="105"/>
  <c r="H6" i="105"/>
  <c r="G6" i="105"/>
  <c r="F6" i="105"/>
  <c r="E6" i="105"/>
  <c r="E7" i="105" s="1"/>
  <c r="R7" i="105"/>
  <c r="P7" i="105"/>
  <c r="N7" i="105"/>
  <c r="L7" i="105"/>
  <c r="J7" i="105"/>
  <c r="I7" i="105"/>
  <c r="H7" i="105"/>
  <c r="F7" i="105"/>
  <c r="E2" i="105"/>
  <c r="S45" i="104"/>
  <c r="S44" i="104"/>
  <c r="S43" i="104"/>
  <c r="S42" i="104"/>
  <c r="S41" i="104"/>
  <c r="S40" i="104"/>
  <c r="S39" i="104"/>
  <c r="S38" i="104"/>
  <c r="S37" i="104"/>
  <c r="S36" i="104"/>
  <c r="S35" i="104"/>
  <c r="S34" i="104"/>
  <c r="S33" i="104"/>
  <c r="S32" i="104"/>
  <c r="S31" i="104"/>
  <c r="S30" i="104"/>
  <c r="S29" i="104"/>
  <c r="S28" i="104"/>
  <c r="S27" i="104"/>
  <c r="S26" i="104"/>
  <c r="S25" i="104"/>
  <c r="S24" i="104"/>
  <c r="S23" i="104"/>
  <c r="S22" i="104"/>
  <c r="S21" i="104"/>
  <c r="S20" i="104"/>
  <c r="S19" i="104"/>
  <c r="S18" i="104"/>
  <c r="S17" i="104"/>
  <c r="S16" i="104"/>
  <c r="S15" i="104"/>
  <c r="S14" i="104"/>
  <c r="S13" i="104"/>
  <c r="S12" i="104"/>
  <c r="S11" i="104"/>
  <c r="S6" i="104" s="1"/>
  <c r="R6" i="104"/>
  <c r="Q6" i="104"/>
  <c r="P6" i="104"/>
  <c r="N6" i="104"/>
  <c r="N7" i="104" s="1"/>
  <c r="L6" i="104"/>
  <c r="K6" i="104"/>
  <c r="K7" i="104" s="1"/>
  <c r="J6" i="104"/>
  <c r="I6" i="104"/>
  <c r="I7" i="104" s="1"/>
  <c r="H6" i="104"/>
  <c r="H7" i="104" s="1"/>
  <c r="G6" i="104"/>
  <c r="G7" i="104" s="1"/>
  <c r="F6" i="104"/>
  <c r="E6" i="104"/>
  <c r="E7" i="104" s="1"/>
  <c r="R7" i="104"/>
  <c r="Q7" i="104"/>
  <c r="L7" i="104"/>
  <c r="E2" i="104"/>
  <c r="S45" i="103"/>
  <c r="S44" i="103"/>
  <c r="S43" i="103"/>
  <c r="S42" i="103"/>
  <c r="S41" i="103"/>
  <c r="S40" i="103"/>
  <c r="S39" i="103"/>
  <c r="S38" i="103"/>
  <c r="S37" i="103"/>
  <c r="S36" i="103"/>
  <c r="S35" i="103"/>
  <c r="S34" i="103"/>
  <c r="S33" i="103"/>
  <c r="S32" i="103"/>
  <c r="S31" i="103"/>
  <c r="S30" i="103"/>
  <c r="S29" i="103"/>
  <c r="S28" i="103"/>
  <c r="S27" i="103"/>
  <c r="S26" i="103"/>
  <c r="S25" i="103"/>
  <c r="S24" i="103"/>
  <c r="S23" i="103"/>
  <c r="S22" i="103"/>
  <c r="S21" i="103"/>
  <c r="S20" i="103"/>
  <c r="S19" i="103"/>
  <c r="S18" i="103"/>
  <c r="S17" i="103"/>
  <c r="S16" i="103"/>
  <c r="S15" i="103"/>
  <c r="S14" i="103"/>
  <c r="S13" i="103"/>
  <c r="S12" i="103"/>
  <c r="S11" i="103"/>
  <c r="S6" i="103"/>
  <c r="R6" i="103"/>
  <c r="Q6" i="103"/>
  <c r="P6" i="103"/>
  <c r="N6" i="103"/>
  <c r="L6" i="103"/>
  <c r="K6" i="103"/>
  <c r="J6" i="103"/>
  <c r="I6" i="103"/>
  <c r="H6" i="103"/>
  <c r="G6" i="103"/>
  <c r="F6" i="103"/>
  <c r="E6" i="103"/>
  <c r="E7" i="103" s="1"/>
  <c r="R7" i="103"/>
  <c r="P7" i="103"/>
  <c r="N7" i="103"/>
  <c r="L7" i="103"/>
  <c r="J7" i="103"/>
  <c r="I7" i="103"/>
  <c r="H7" i="103"/>
  <c r="F7" i="103"/>
  <c r="E2" i="103"/>
  <c r="S45" i="102"/>
  <c r="S44" i="102"/>
  <c r="S43" i="102"/>
  <c r="S42" i="102"/>
  <c r="S41" i="102"/>
  <c r="S40" i="102"/>
  <c r="S39" i="102"/>
  <c r="S38" i="102"/>
  <c r="S37" i="102"/>
  <c r="S36" i="102"/>
  <c r="S35" i="102"/>
  <c r="S34" i="102"/>
  <c r="S33" i="102"/>
  <c r="S32" i="102"/>
  <c r="S31" i="102"/>
  <c r="S30" i="102"/>
  <c r="S29" i="102"/>
  <c r="S28" i="102"/>
  <c r="S27" i="102"/>
  <c r="S26" i="102"/>
  <c r="S25" i="102"/>
  <c r="S24" i="102"/>
  <c r="S23" i="102"/>
  <c r="S22" i="102"/>
  <c r="S21" i="102"/>
  <c r="S20" i="102"/>
  <c r="S19" i="102"/>
  <c r="S18" i="102"/>
  <c r="S17" i="102"/>
  <c r="S16" i="102"/>
  <c r="S15" i="102"/>
  <c r="S14" i="102"/>
  <c r="S13" i="102"/>
  <c r="S12" i="102"/>
  <c r="S11" i="102"/>
  <c r="R6" i="102"/>
  <c r="Q6" i="102"/>
  <c r="P6" i="102"/>
  <c r="N6" i="102"/>
  <c r="L6" i="102"/>
  <c r="K6" i="102"/>
  <c r="J6" i="102"/>
  <c r="I6" i="102"/>
  <c r="H6" i="102"/>
  <c r="G6" i="102"/>
  <c r="F6" i="102"/>
  <c r="E6" i="102"/>
  <c r="R7" i="102"/>
  <c r="Q7" i="102"/>
  <c r="P7" i="102"/>
  <c r="L7" i="102"/>
  <c r="K7" i="102"/>
  <c r="J7" i="102"/>
  <c r="H7" i="102"/>
  <c r="G7" i="102"/>
  <c r="F7" i="102"/>
  <c r="E2" i="102"/>
  <c r="S45" i="101"/>
  <c r="S44" i="101"/>
  <c r="S43" i="101"/>
  <c r="S42" i="101"/>
  <c r="S41" i="101"/>
  <c r="S40" i="101"/>
  <c r="S39" i="101"/>
  <c r="S38" i="101"/>
  <c r="S37" i="101"/>
  <c r="S36" i="101"/>
  <c r="S35" i="101"/>
  <c r="S34" i="101"/>
  <c r="S33" i="101"/>
  <c r="S32" i="101"/>
  <c r="S31" i="101"/>
  <c r="S30" i="101"/>
  <c r="S29" i="101"/>
  <c r="S28" i="101"/>
  <c r="S27" i="101"/>
  <c r="S26" i="101"/>
  <c r="S25" i="101"/>
  <c r="S24" i="101"/>
  <c r="S23" i="101"/>
  <c r="S22" i="101"/>
  <c r="S21" i="101"/>
  <c r="S20" i="101"/>
  <c r="S19" i="101"/>
  <c r="S18" i="101"/>
  <c r="S17" i="101"/>
  <c r="S16" i="101"/>
  <c r="S15" i="101"/>
  <c r="S14" i="101"/>
  <c r="S13" i="101"/>
  <c r="S12" i="101"/>
  <c r="S11" i="101"/>
  <c r="S6" i="101" s="1"/>
  <c r="R6" i="101"/>
  <c r="Q6" i="101"/>
  <c r="P6" i="101"/>
  <c r="P7" i="101" s="1"/>
  <c r="N6" i="101"/>
  <c r="N7" i="101" s="1"/>
  <c r="L6" i="101"/>
  <c r="L7" i="101" s="1"/>
  <c r="K6" i="101"/>
  <c r="J6" i="101"/>
  <c r="J7" i="101" s="1"/>
  <c r="I6" i="101"/>
  <c r="I7" i="101" s="1"/>
  <c r="H6" i="101"/>
  <c r="H7" i="101" s="1"/>
  <c r="G6" i="101"/>
  <c r="F6" i="101"/>
  <c r="F7" i="101" s="1"/>
  <c r="E6" i="101"/>
  <c r="E7" i="101" s="1"/>
  <c r="R7" i="101"/>
  <c r="E2" i="101"/>
  <c r="S45" i="100"/>
  <c r="S44" i="100"/>
  <c r="S43" i="100"/>
  <c r="S42" i="100"/>
  <c r="S41" i="100"/>
  <c r="S40" i="100"/>
  <c r="S39" i="100"/>
  <c r="S38" i="100"/>
  <c r="S37" i="100"/>
  <c r="S36" i="100"/>
  <c r="S35" i="100"/>
  <c r="S34" i="100"/>
  <c r="S33" i="100"/>
  <c r="S32" i="100"/>
  <c r="S31" i="100"/>
  <c r="S30" i="100"/>
  <c r="S29" i="100"/>
  <c r="S28" i="100"/>
  <c r="S27" i="100"/>
  <c r="S26" i="100"/>
  <c r="S25" i="100"/>
  <c r="S24" i="100"/>
  <c r="S23" i="100"/>
  <c r="S22" i="100"/>
  <c r="S21" i="100"/>
  <c r="S20" i="100"/>
  <c r="S19" i="100"/>
  <c r="S18" i="100"/>
  <c r="S17" i="100"/>
  <c r="S16" i="100"/>
  <c r="S15" i="100"/>
  <c r="S14" i="100"/>
  <c r="S13" i="100"/>
  <c r="S12" i="100"/>
  <c r="S11" i="100"/>
  <c r="R6" i="100"/>
  <c r="Q6" i="100"/>
  <c r="P6" i="100"/>
  <c r="P7" i="100" s="1"/>
  <c r="N6" i="100"/>
  <c r="L6" i="100"/>
  <c r="K6" i="100"/>
  <c r="J6" i="100"/>
  <c r="J7" i="100" s="1"/>
  <c r="I6" i="100"/>
  <c r="H6" i="100"/>
  <c r="G6" i="100"/>
  <c r="F6" i="100"/>
  <c r="F7" i="100" s="1"/>
  <c r="E6" i="100"/>
  <c r="R7" i="100"/>
  <c r="L7" i="100"/>
  <c r="H7" i="100"/>
  <c r="E2" i="100"/>
  <c r="S45" i="99"/>
  <c r="S44" i="99"/>
  <c r="S43" i="99"/>
  <c r="S42" i="99"/>
  <c r="S41" i="99"/>
  <c r="S40" i="99"/>
  <c r="S39" i="99"/>
  <c r="S38" i="99"/>
  <c r="S37" i="99"/>
  <c r="S36" i="99"/>
  <c r="S35" i="99"/>
  <c r="S34" i="99"/>
  <c r="S33" i="99"/>
  <c r="S32" i="99"/>
  <c r="S31" i="99"/>
  <c r="S30" i="99"/>
  <c r="S29" i="99"/>
  <c r="S28" i="99"/>
  <c r="S27" i="99"/>
  <c r="S26" i="99"/>
  <c r="S25" i="99"/>
  <c r="S24" i="99"/>
  <c r="S23" i="99"/>
  <c r="S22" i="99"/>
  <c r="S21" i="99"/>
  <c r="S20" i="99"/>
  <c r="S19" i="99"/>
  <c r="S18" i="99"/>
  <c r="S17" i="99"/>
  <c r="S16" i="99"/>
  <c r="S15" i="99"/>
  <c r="S14" i="99"/>
  <c r="S13" i="99"/>
  <c r="S12" i="99"/>
  <c r="S11" i="99"/>
  <c r="R6" i="99"/>
  <c r="Q6" i="99"/>
  <c r="P6" i="99"/>
  <c r="P7" i="99" s="1"/>
  <c r="N6" i="99"/>
  <c r="N7" i="99" s="1"/>
  <c r="L6" i="99"/>
  <c r="L7" i="99" s="1"/>
  <c r="K6" i="99"/>
  <c r="J6" i="99"/>
  <c r="I6" i="99"/>
  <c r="I7" i="99" s="1"/>
  <c r="H6" i="99"/>
  <c r="H7" i="99" s="1"/>
  <c r="G6" i="99"/>
  <c r="F6" i="99"/>
  <c r="E6" i="99"/>
  <c r="E7" i="99" s="1"/>
  <c r="R7" i="99"/>
  <c r="J7" i="99"/>
  <c r="F7" i="99"/>
  <c r="E2" i="99"/>
  <c r="S45" i="98"/>
  <c r="S44" i="98"/>
  <c r="S43" i="98"/>
  <c r="S42" i="98"/>
  <c r="S41" i="98"/>
  <c r="S40" i="98"/>
  <c r="S39" i="98"/>
  <c r="S38" i="98"/>
  <c r="S37" i="98"/>
  <c r="S36" i="98"/>
  <c r="S35" i="98"/>
  <c r="S34" i="98"/>
  <c r="S33" i="98"/>
  <c r="S32" i="98"/>
  <c r="S31" i="98"/>
  <c r="S30" i="98"/>
  <c r="S29" i="98"/>
  <c r="S28" i="98"/>
  <c r="S27" i="98"/>
  <c r="S26" i="98"/>
  <c r="S25" i="98"/>
  <c r="S24" i="98"/>
  <c r="S23" i="98"/>
  <c r="S22" i="98"/>
  <c r="S21" i="98"/>
  <c r="S20" i="98"/>
  <c r="S19" i="98"/>
  <c r="S18" i="98"/>
  <c r="S17" i="98"/>
  <c r="S16" i="98"/>
  <c r="S15" i="98"/>
  <c r="S14" i="98"/>
  <c r="S13" i="98"/>
  <c r="S12" i="98"/>
  <c r="S11" i="98"/>
  <c r="R6" i="98"/>
  <c r="Q6" i="98"/>
  <c r="P6" i="98"/>
  <c r="P7" i="98" s="1"/>
  <c r="N6" i="98"/>
  <c r="N7" i="98" s="1"/>
  <c r="L6" i="98"/>
  <c r="L7" i="98" s="1"/>
  <c r="K6" i="98"/>
  <c r="J6" i="98"/>
  <c r="I6" i="98"/>
  <c r="I7" i="98" s="1"/>
  <c r="H6" i="98"/>
  <c r="H7" i="98" s="1"/>
  <c r="G6" i="98"/>
  <c r="F6" i="98"/>
  <c r="E6" i="98"/>
  <c r="E7" i="98" s="1"/>
  <c r="R7" i="98"/>
  <c r="J7" i="98"/>
  <c r="F7" i="98"/>
  <c r="E2" i="98"/>
  <c r="S45" i="97"/>
  <c r="S44" i="97"/>
  <c r="S43" i="97"/>
  <c r="S42" i="97"/>
  <c r="S41" i="97"/>
  <c r="S40" i="97"/>
  <c r="S39" i="97"/>
  <c r="S38" i="97"/>
  <c r="S37" i="97"/>
  <c r="S36" i="97"/>
  <c r="S35" i="97"/>
  <c r="S34" i="97"/>
  <c r="S33" i="97"/>
  <c r="S32" i="97"/>
  <c r="S31" i="97"/>
  <c r="S30" i="97"/>
  <c r="S29" i="97"/>
  <c r="S28" i="97"/>
  <c r="S27" i="97"/>
  <c r="S26" i="97"/>
  <c r="S25" i="97"/>
  <c r="S24" i="97"/>
  <c r="S23" i="97"/>
  <c r="S22" i="97"/>
  <c r="S21" i="97"/>
  <c r="S20" i="97"/>
  <c r="S19" i="97"/>
  <c r="S18" i="97"/>
  <c r="S17" i="97"/>
  <c r="S16" i="97"/>
  <c r="S15" i="97"/>
  <c r="S14" i="97"/>
  <c r="S13" i="97"/>
  <c r="S12" i="97"/>
  <c r="S11" i="97"/>
  <c r="R6" i="97"/>
  <c r="Q6" i="97"/>
  <c r="P6" i="97"/>
  <c r="P7" i="97" s="1"/>
  <c r="N6" i="97"/>
  <c r="N7" i="97" s="1"/>
  <c r="L6" i="97"/>
  <c r="K6" i="97"/>
  <c r="J6" i="97"/>
  <c r="I6" i="97"/>
  <c r="I7" i="97" s="1"/>
  <c r="H6" i="97"/>
  <c r="G6" i="97"/>
  <c r="F6" i="97"/>
  <c r="F7" i="97" s="1"/>
  <c r="E6" i="97"/>
  <c r="E7" i="97" s="1"/>
  <c r="J7" i="97"/>
  <c r="E2" i="97"/>
  <c r="S45" i="96"/>
  <c r="S44" i="96"/>
  <c r="S43" i="96"/>
  <c r="S42" i="96"/>
  <c r="S41" i="96"/>
  <c r="S40" i="96"/>
  <c r="S39" i="96"/>
  <c r="S38" i="96"/>
  <c r="S37" i="96"/>
  <c r="S36" i="96"/>
  <c r="S35" i="96"/>
  <c r="S34" i="96"/>
  <c r="S33" i="96"/>
  <c r="S32" i="96"/>
  <c r="S31" i="96"/>
  <c r="S30" i="96"/>
  <c r="S29" i="96"/>
  <c r="S28" i="96"/>
  <c r="S27" i="96"/>
  <c r="S26" i="96"/>
  <c r="S25" i="96"/>
  <c r="S24" i="96"/>
  <c r="S23" i="96"/>
  <c r="S22" i="96"/>
  <c r="S21" i="96"/>
  <c r="S20" i="96"/>
  <c r="S19" i="96"/>
  <c r="S18" i="96"/>
  <c r="S17" i="96"/>
  <c r="S16" i="96"/>
  <c r="S15" i="96"/>
  <c r="S14" i="96"/>
  <c r="S13" i="96"/>
  <c r="S12" i="96"/>
  <c r="S11" i="96"/>
  <c r="S6" i="96" s="1"/>
  <c r="R6" i="96"/>
  <c r="Q6" i="96"/>
  <c r="P6" i="96"/>
  <c r="N6" i="96"/>
  <c r="L6" i="96"/>
  <c r="K6" i="96"/>
  <c r="J6" i="96"/>
  <c r="I6" i="96"/>
  <c r="H6" i="96"/>
  <c r="G6" i="96"/>
  <c r="F6" i="96"/>
  <c r="E6" i="96"/>
  <c r="E7" i="96" s="1"/>
  <c r="R7" i="96"/>
  <c r="Q7" i="96"/>
  <c r="P7" i="96"/>
  <c r="N7" i="96"/>
  <c r="L7" i="96"/>
  <c r="K7" i="96"/>
  <c r="J7" i="96"/>
  <c r="I7" i="96"/>
  <c r="H7" i="96"/>
  <c r="G7" i="96"/>
  <c r="F7" i="96"/>
  <c r="E2" i="96"/>
  <c r="S45" i="95"/>
  <c r="S44" i="95"/>
  <c r="S43" i="95"/>
  <c r="S42" i="95"/>
  <c r="S41" i="95"/>
  <c r="S40" i="95"/>
  <c r="S39" i="95"/>
  <c r="S38" i="95"/>
  <c r="S37" i="95"/>
  <c r="S36" i="95"/>
  <c r="S35" i="95"/>
  <c r="S34" i="95"/>
  <c r="S33" i="95"/>
  <c r="S32" i="95"/>
  <c r="S31" i="95"/>
  <c r="S30" i="95"/>
  <c r="S29" i="95"/>
  <c r="S28" i="95"/>
  <c r="S27" i="95"/>
  <c r="S26" i="95"/>
  <c r="S25" i="95"/>
  <c r="S24" i="95"/>
  <c r="S23" i="95"/>
  <c r="S22" i="95"/>
  <c r="S21" i="95"/>
  <c r="S20" i="95"/>
  <c r="S19" i="95"/>
  <c r="S18" i="95"/>
  <c r="S17" i="95"/>
  <c r="S16" i="95"/>
  <c r="S15" i="95"/>
  <c r="S14" i="95"/>
  <c r="S13" i="95"/>
  <c r="S12" i="95"/>
  <c r="S11" i="95"/>
  <c r="R6" i="95"/>
  <c r="Q6" i="95"/>
  <c r="P6" i="95"/>
  <c r="P7" i="95" s="1"/>
  <c r="N6" i="95"/>
  <c r="L6" i="95"/>
  <c r="K6" i="95"/>
  <c r="J6" i="95"/>
  <c r="I6" i="95"/>
  <c r="I7" i="95" s="1"/>
  <c r="H6" i="95"/>
  <c r="G6" i="95"/>
  <c r="F6" i="95"/>
  <c r="E6" i="95"/>
  <c r="Q7" i="95"/>
  <c r="N7" i="95"/>
  <c r="J7" i="95"/>
  <c r="F7" i="95"/>
  <c r="E7" i="95"/>
  <c r="E2" i="95"/>
  <c r="S45" i="94"/>
  <c r="S44" i="94"/>
  <c r="S43" i="94"/>
  <c r="S42" i="94"/>
  <c r="S41" i="94"/>
  <c r="S40" i="94"/>
  <c r="S39" i="94"/>
  <c r="S38" i="94"/>
  <c r="S37" i="94"/>
  <c r="S36" i="94"/>
  <c r="S35" i="94"/>
  <c r="S34" i="94"/>
  <c r="S33" i="94"/>
  <c r="S32" i="94"/>
  <c r="S31" i="94"/>
  <c r="S30" i="94"/>
  <c r="S29" i="94"/>
  <c r="S28" i="94"/>
  <c r="S27" i="94"/>
  <c r="S26" i="94"/>
  <c r="S25" i="94"/>
  <c r="S24" i="94"/>
  <c r="S23" i="94"/>
  <c r="S22" i="94"/>
  <c r="S21" i="94"/>
  <c r="S20" i="94"/>
  <c r="S19" i="94"/>
  <c r="S18" i="94"/>
  <c r="S17" i="94"/>
  <c r="S16" i="94"/>
  <c r="S15" i="94"/>
  <c r="S14" i="94"/>
  <c r="S13" i="94"/>
  <c r="S12" i="94"/>
  <c r="S11" i="94"/>
  <c r="S6" i="94" s="1"/>
  <c r="R6" i="94"/>
  <c r="Q6" i="94"/>
  <c r="P6" i="94"/>
  <c r="N6" i="94"/>
  <c r="L6" i="94"/>
  <c r="K6" i="94"/>
  <c r="J6" i="94"/>
  <c r="I6" i="94"/>
  <c r="H6" i="94"/>
  <c r="G6" i="94"/>
  <c r="F6" i="94"/>
  <c r="E6" i="94"/>
  <c r="R7" i="94"/>
  <c r="Q7" i="94"/>
  <c r="P7" i="94"/>
  <c r="L7" i="94"/>
  <c r="K7" i="94"/>
  <c r="J7" i="94"/>
  <c r="H7" i="94"/>
  <c r="G7" i="94"/>
  <c r="F7" i="94"/>
  <c r="E2" i="94"/>
  <c r="S45" i="93"/>
  <c r="S44" i="93"/>
  <c r="S43" i="93"/>
  <c r="S42" i="93"/>
  <c r="S41" i="93"/>
  <c r="S40" i="93"/>
  <c r="S39" i="93"/>
  <c r="S38" i="93"/>
  <c r="S37" i="93"/>
  <c r="S36" i="93"/>
  <c r="S35" i="93"/>
  <c r="S34" i="93"/>
  <c r="S33" i="93"/>
  <c r="S32" i="93"/>
  <c r="S31" i="93"/>
  <c r="S30" i="93"/>
  <c r="S29" i="93"/>
  <c r="S28" i="93"/>
  <c r="S27" i="93"/>
  <c r="S26" i="93"/>
  <c r="S25" i="93"/>
  <c r="S24" i="93"/>
  <c r="S23" i="93"/>
  <c r="S22" i="93"/>
  <c r="S21" i="93"/>
  <c r="S20" i="93"/>
  <c r="S19" i="93"/>
  <c r="S18" i="93"/>
  <c r="S17" i="93"/>
  <c r="S16" i="93"/>
  <c r="S15" i="93"/>
  <c r="S14" i="93"/>
  <c r="S13" i="93"/>
  <c r="S12" i="93"/>
  <c r="S11" i="93"/>
  <c r="S6" i="93" s="1"/>
  <c r="R6" i="93"/>
  <c r="Q6" i="93"/>
  <c r="Q7" i="93" s="1"/>
  <c r="P6" i="93"/>
  <c r="N6" i="93"/>
  <c r="N7" i="93" s="1"/>
  <c r="L6" i="93"/>
  <c r="K6" i="93"/>
  <c r="J6" i="93"/>
  <c r="I6" i="93"/>
  <c r="I7" i="93" s="1"/>
  <c r="H6" i="93"/>
  <c r="G6" i="93"/>
  <c r="F6" i="93"/>
  <c r="E6" i="93"/>
  <c r="E7" i="93" s="1"/>
  <c r="P7" i="93"/>
  <c r="L7" i="93"/>
  <c r="J7" i="93"/>
  <c r="H7" i="93"/>
  <c r="F7" i="93"/>
  <c r="E2" i="93"/>
  <c r="S45" i="92"/>
  <c r="S44" i="92"/>
  <c r="S43" i="92"/>
  <c r="S42" i="92"/>
  <c r="S41" i="92"/>
  <c r="S40" i="92"/>
  <c r="S39" i="92"/>
  <c r="S38" i="92"/>
  <c r="S37" i="92"/>
  <c r="S36" i="92"/>
  <c r="S35" i="92"/>
  <c r="S34" i="92"/>
  <c r="S33" i="92"/>
  <c r="S32" i="92"/>
  <c r="S31" i="92"/>
  <c r="S30" i="92"/>
  <c r="S29" i="92"/>
  <c r="S28" i="92"/>
  <c r="S27" i="92"/>
  <c r="S26" i="92"/>
  <c r="S25" i="92"/>
  <c r="S24" i="92"/>
  <c r="S23" i="92"/>
  <c r="S22" i="92"/>
  <c r="S21" i="92"/>
  <c r="S20" i="92"/>
  <c r="S19" i="92"/>
  <c r="S18" i="92"/>
  <c r="S17" i="92"/>
  <c r="S16" i="92"/>
  <c r="S15" i="92"/>
  <c r="S14" i="92"/>
  <c r="S13" i="92"/>
  <c r="S12" i="92"/>
  <c r="S11" i="92"/>
  <c r="R6" i="92"/>
  <c r="Q6" i="92"/>
  <c r="P6" i="92"/>
  <c r="P7" i="92" s="1"/>
  <c r="N6" i="92"/>
  <c r="L6" i="92"/>
  <c r="L7" i="92" s="1"/>
  <c r="K6" i="92"/>
  <c r="J6" i="92"/>
  <c r="I6" i="92"/>
  <c r="H6" i="92"/>
  <c r="G6" i="92"/>
  <c r="F6" i="92"/>
  <c r="E6" i="92"/>
  <c r="E7" i="92" s="1"/>
  <c r="R7" i="92"/>
  <c r="N7" i="92"/>
  <c r="I7" i="92"/>
  <c r="H7" i="92"/>
  <c r="E2" i="92"/>
  <c r="S45" i="91"/>
  <c r="S44" i="91"/>
  <c r="S43" i="91"/>
  <c r="S42" i="91"/>
  <c r="S41" i="91"/>
  <c r="S40" i="91"/>
  <c r="S39" i="91"/>
  <c r="S38" i="91"/>
  <c r="S37" i="91"/>
  <c r="S36" i="91"/>
  <c r="S35" i="91"/>
  <c r="S34" i="91"/>
  <c r="S33" i="91"/>
  <c r="S32" i="91"/>
  <c r="S31" i="91"/>
  <c r="S30" i="91"/>
  <c r="S29" i="91"/>
  <c r="S28" i="91"/>
  <c r="S27" i="91"/>
  <c r="S26" i="91"/>
  <c r="S25" i="91"/>
  <c r="S24" i="91"/>
  <c r="S23" i="91"/>
  <c r="S22" i="91"/>
  <c r="S21" i="91"/>
  <c r="S20" i="91"/>
  <c r="S19" i="91"/>
  <c r="S18" i="91"/>
  <c r="S17" i="91"/>
  <c r="S16" i="91"/>
  <c r="S15" i="91"/>
  <c r="S14" i="91"/>
  <c r="S13" i="91"/>
  <c r="S12" i="91"/>
  <c r="S6" i="91" s="1"/>
  <c r="S104" i="4" s="1"/>
  <c r="S11" i="91"/>
  <c r="R6" i="91"/>
  <c r="Q6" i="91"/>
  <c r="P6" i="91"/>
  <c r="N6" i="91"/>
  <c r="L6" i="91"/>
  <c r="L7" i="91" s="1"/>
  <c r="K6" i="91"/>
  <c r="J6" i="91"/>
  <c r="I6" i="91"/>
  <c r="H6" i="91"/>
  <c r="G6" i="91"/>
  <c r="G7" i="91" s="1"/>
  <c r="F6" i="91"/>
  <c r="E6" i="91"/>
  <c r="R7" i="91"/>
  <c r="P7" i="91"/>
  <c r="J7" i="91"/>
  <c r="H7" i="91"/>
  <c r="F7" i="91"/>
  <c r="E2" i="91"/>
  <c r="S45" i="90"/>
  <c r="S44" i="90"/>
  <c r="S43" i="90"/>
  <c r="S42" i="90"/>
  <c r="S41" i="90"/>
  <c r="S40" i="90"/>
  <c r="S39" i="90"/>
  <c r="S38" i="90"/>
  <c r="S37" i="90"/>
  <c r="S36" i="90"/>
  <c r="S35" i="90"/>
  <c r="S34" i="90"/>
  <c r="S33" i="90"/>
  <c r="S32" i="90"/>
  <c r="S31" i="90"/>
  <c r="S30" i="90"/>
  <c r="S29" i="90"/>
  <c r="S28" i="90"/>
  <c r="S27" i="90"/>
  <c r="S26" i="90"/>
  <c r="S25" i="90"/>
  <c r="S24" i="90"/>
  <c r="S23" i="90"/>
  <c r="S22" i="90"/>
  <c r="S21" i="90"/>
  <c r="S20" i="90"/>
  <c r="S19" i="90"/>
  <c r="S18" i="90"/>
  <c r="S17" i="90"/>
  <c r="S16" i="90"/>
  <c r="S15" i="90"/>
  <c r="S14" i="90"/>
  <c r="S13" i="90"/>
  <c r="S12" i="90"/>
  <c r="S11" i="90"/>
  <c r="R6" i="90"/>
  <c r="Q6" i="90"/>
  <c r="P6" i="90"/>
  <c r="N6" i="90"/>
  <c r="L6" i="90"/>
  <c r="K6" i="90"/>
  <c r="J6" i="90"/>
  <c r="I6" i="90"/>
  <c r="H6" i="90"/>
  <c r="H7" i="90" s="1"/>
  <c r="G6" i="90"/>
  <c r="F6" i="90"/>
  <c r="E6" i="90"/>
  <c r="R7" i="90"/>
  <c r="L7" i="90"/>
  <c r="F7" i="90"/>
  <c r="E7" i="90"/>
  <c r="E2" i="90"/>
  <c r="S45" i="89"/>
  <c r="S44" i="89"/>
  <c r="S43" i="89"/>
  <c r="S42" i="89"/>
  <c r="S41" i="89"/>
  <c r="S40" i="89"/>
  <c r="S39" i="89"/>
  <c r="S38" i="89"/>
  <c r="S37" i="89"/>
  <c r="S36" i="89"/>
  <c r="S35" i="89"/>
  <c r="S34" i="89"/>
  <c r="S33" i="89"/>
  <c r="S32" i="89"/>
  <c r="S31" i="89"/>
  <c r="S30" i="89"/>
  <c r="S29" i="89"/>
  <c r="S28" i="89"/>
  <c r="S27" i="89"/>
  <c r="S26" i="89"/>
  <c r="S25" i="89"/>
  <c r="S24" i="89"/>
  <c r="S23" i="89"/>
  <c r="S22" i="89"/>
  <c r="S21" i="89"/>
  <c r="S20" i="89"/>
  <c r="S19" i="89"/>
  <c r="S18" i="89"/>
  <c r="S17" i="89"/>
  <c r="S16" i="89"/>
  <c r="S15" i="89"/>
  <c r="S14" i="89"/>
  <c r="S13" i="89"/>
  <c r="S12" i="89"/>
  <c r="S11" i="89"/>
  <c r="R6" i="89"/>
  <c r="Q6" i="89"/>
  <c r="P6" i="89"/>
  <c r="N6" i="89"/>
  <c r="L6" i="89"/>
  <c r="K6" i="89"/>
  <c r="J6" i="89"/>
  <c r="I6" i="89"/>
  <c r="H6" i="89"/>
  <c r="H7" i="89" s="1"/>
  <c r="G6" i="89"/>
  <c r="F6" i="89"/>
  <c r="E6" i="89"/>
  <c r="R7" i="89"/>
  <c r="L7" i="89"/>
  <c r="K7" i="89"/>
  <c r="E2" i="89"/>
  <c r="S45" i="88"/>
  <c r="S44" i="88"/>
  <c r="S43" i="88"/>
  <c r="S42" i="88"/>
  <c r="S41" i="88"/>
  <c r="S40" i="88"/>
  <c r="S39" i="88"/>
  <c r="S38" i="88"/>
  <c r="S37" i="88"/>
  <c r="S36" i="88"/>
  <c r="S35" i="88"/>
  <c r="S34" i="88"/>
  <c r="S33" i="88"/>
  <c r="S32" i="88"/>
  <c r="S31" i="88"/>
  <c r="S30" i="88"/>
  <c r="S29" i="88"/>
  <c r="S28" i="88"/>
  <c r="S27" i="88"/>
  <c r="S26" i="88"/>
  <c r="S25" i="88"/>
  <c r="S24" i="88"/>
  <c r="S23" i="88"/>
  <c r="S22" i="88"/>
  <c r="S21" i="88"/>
  <c r="S20" i="88"/>
  <c r="S19" i="88"/>
  <c r="S18" i="88"/>
  <c r="S17" i="88"/>
  <c r="S16" i="88"/>
  <c r="S15" i="88"/>
  <c r="S14" i="88"/>
  <c r="S13" i="88"/>
  <c r="S12" i="88"/>
  <c r="S11" i="88"/>
  <c r="R6" i="88"/>
  <c r="Q6" i="88"/>
  <c r="P6" i="88"/>
  <c r="P7" i="88" s="1"/>
  <c r="N6" i="88"/>
  <c r="L6" i="88"/>
  <c r="K6" i="88"/>
  <c r="J6" i="88"/>
  <c r="J7" i="88" s="1"/>
  <c r="I6" i="88"/>
  <c r="H6" i="88"/>
  <c r="G6" i="88"/>
  <c r="F6" i="88"/>
  <c r="F7" i="88" s="1"/>
  <c r="E6" i="88"/>
  <c r="R7" i="88"/>
  <c r="L7" i="88"/>
  <c r="H7" i="88"/>
  <c r="E2" i="88"/>
  <c r="E5" i="87"/>
  <c r="F5" i="87"/>
  <c r="G5" i="87"/>
  <c r="H5" i="87"/>
  <c r="H7" i="87" s="1"/>
  <c r="I5" i="87"/>
  <c r="J5" i="87"/>
  <c r="K5" i="87"/>
  <c r="L5" i="87"/>
  <c r="L7" i="87" s="1"/>
  <c r="N5" i="87"/>
  <c r="P5" i="87"/>
  <c r="Q5" i="87"/>
  <c r="R5" i="87"/>
  <c r="C9" i="87"/>
  <c r="C8" i="87"/>
  <c r="C9" i="86"/>
  <c r="C8" i="86"/>
  <c r="E5" i="85"/>
  <c r="F5" i="85"/>
  <c r="G5" i="85"/>
  <c r="H5" i="85"/>
  <c r="I5" i="85"/>
  <c r="J5" i="85"/>
  <c r="K5" i="85"/>
  <c r="L5" i="85"/>
  <c r="L7" i="85" s="1"/>
  <c r="N5" i="85"/>
  <c r="P5" i="85"/>
  <c r="Q5" i="85"/>
  <c r="R5" i="85"/>
  <c r="R7" i="85" s="1"/>
  <c r="C9" i="85"/>
  <c r="C8" i="85"/>
  <c r="E5" i="84"/>
  <c r="F5" i="84"/>
  <c r="F7" i="84" s="1"/>
  <c r="G5" i="84"/>
  <c r="H5" i="84"/>
  <c r="I5" i="84"/>
  <c r="J5" i="84"/>
  <c r="K5" i="84"/>
  <c r="L5" i="84"/>
  <c r="N5" i="84"/>
  <c r="P5" i="84"/>
  <c r="P7" i="84" s="1"/>
  <c r="Q5" i="84"/>
  <c r="R5" i="84"/>
  <c r="C9" i="84"/>
  <c r="C8" i="84"/>
  <c r="E5" i="83"/>
  <c r="F5" i="83"/>
  <c r="G5" i="83"/>
  <c r="H5" i="83"/>
  <c r="I5" i="83"/>
  <c r="J5" i="83"/>
  <c r="K5" i="83"/>
  <c r="L5" i="83"/>
  <c r="N5" i="83"/>
  <c r="P5" i="83"/>
  <c r="Q5" i="83"/>
  <c r="R5" i="83"/>
  <c r="C9" i="83"/>
  <c r="C8" i="83"/>
  <c r="E5" i="82"/>
  <c r="F5" i="82"/>
  <c r="F7" i="82" s="1"/>
  <c r="G5" i="82"/>
  <c r="H5" i="82"/>
  <c r="I5" i="82"/>
  <c r="J5" i="82"/>
  <c r="K5" i="82"/>
  <c r="L5" i="82"/>
  <c r="N5" i="82"/>
  <c r="P5" i="82"/>
  <c r="P7" i="82" s="1"/>
  <c r="Q5" i="82"/>
  <c r="R5" i="82"/>
  <c r="C9" i="82"/>
  <c r="C8" i="82"/>
  <c r="E5" i="81"/>
  <c r="F5" i="81"/>
  <c r="G5" i="81"/>
  <c r="H5" i="81"/>
  <c r="H7" i="81" s="1"/>
  <c r="I5" i="81"/>
  <c r="J5" i="81"/>
  <c r="K5" i="81"/>
  <c r="L5" i="81"/>
  <c r="L7" i="81" s="1"/>
  <c r="N5" i="81"/>
  <c r="P5" i="81"/>
  <c r="Q5" i="81"/>
  <c r="R5" i="81"/>
  <c r="R7" i="81" s="1"/>
  <c r="C9" i="81"/>
  <c r="C8" i="81"/>
  <c r="E5" i="80"/>
  <c r="F5" i="80"/>
  <c r="G5" i="80"/>
  <c r="H5" i="80"/>
  <c r="I5" i="80"/>
  <c r="J5" i="80"/>
  <c r="J7" i="80" s="1"/>
  <c r="K5" i="80"/>
  <c r="L5" i="80"/>
  <c r="N5" i="80"/>
  <c r="P5" i="80"/>
  <c r="Q5" i="80"/>
  <c r="R5" i="80"/>
  <c r="C9" i="80"/>
  <c r="C8" i="80"/>
  <c r="E5" i="79"/>
  <c r="F5" i="79"/>
  <c r="G5" i="79"/>
  <c r="H5" i="79"/>
  <c r="H7" i="79" s="1"/>
  <c r="I5" i="79"/>
  <c r="J5" i="79"/>
  <c r="K5" i="79"/>
  <c r="L5" i="79"/>
  <c r="L7" i="79" s="1"/>
  <c r="N5" i="79"/>
  <c r="P5" i="79"/>
  <c r="Q5" i="79"/>
  <c r="R5" i="79"/>
  <c r="R7" i="79" s="1"/>
  <c r="C9" i="79"/>
  <c r="C8" i="79"/>
  <c r="E5" i="78"/>
  <c r="F5" i="78"/>
  <c r="F7" i="78" s="1"/>
  <c r="G5" i="78"/>
  <c r="H5" i="78"/>
  <c r="I5" i="78"/>
  <c r="J5" i="78"/>
  <c r="J7" i="78" s="1"/>
  <c r="K5" i="78"/>
  <c r="L5" i="78"/>
  <c r="N5" i="78"/>
  <c r="P5" i="78"/>
  <c r="Q5" i="78"/>
  <c r="R5" i="78"/>
  <c r="C9" i="78"/>
  <c r="C8" i="78"/>
  <c r="S45" i="87"/>
  <c r="S44" i="87"/>
  <c r="S43" i="87"/>
  <c r="S42" i="87"/>
  <c r="S41" i="87"/>
  <c r="S40" i="87"/>
  <c r="S39" i="87"/>
  <c r="S38" i="87"/>
  <c r="S37" i="87"/>
  <c r="S36" i="87"/>
  <c r="S35" i="87"/>
  <c r="S34" i="87"/>
  <c r="S33" i="87"/>
  <c r="S32" i="87"/>
  <c r="S31" i="87"/>
  <c r="S30" i="87"/>
  <c r="S29" i="87"/>
  <c r="S28" i="87"/>
  <c r="S27" i="87"/>
  <c r="S26" i="87"/>
  <c r="S25" i="87"/>
  <c r="S24" i="87"/>
  <c r="S23" i="87"/>
  <c r="S22" i="87"/>
  <c r="S21" i="87"/>
  <c r="S20" i="87"/>
  <c r="S19" i="87"/>
  <c r="S18" i="87"/>
  <c r="S17" i="87"/>
  <c r="S16" i="87"/>
  <c r="S15" i="87"/>
  <c r="S14" i="87"/>
  <c r="S13" i="87"/>
  <c r="S12" i="87"/>
  <c r="S11" i="87"/>
  <c r="R6" i="87"/>
  <c r="Q6" i="87"/>
  <c r="P6" i="87"/>
  <c r="N6" i="87"/>
  <c r="N7" i="87" s="1"/>
  <c r="L6" i="87"/>
  <c r="K6" i="87"/>
  <c r="J6" i="87"/>
  <c r="I6" i="87"/>
  <c r="I7" i="87" s="1"/>
  <c r="H6" i="87"/>
  <c r="G6" i="87"/>
  <c r="F6" i="87"/>
  <c r="E6" i="87"/>
  <c r="E7" i="87" s="1"/>
  <c r="R7" i="87"/>
  <c r="J7" i="87"/>
  <c r="F7" i="87"/>
  <c r="E2" i="87"/>
  <c r="S45" i="86"/>
  <c r="S44" i="86"/>
  <c r="S43" i="86"/>
  <c r="S42" i="86"/>
  <c r="S41" i="86"/>
  <c r="S40" i="86"/>
  <c r="S39" i="86"/>
  <c r="S38" i="86"/>
  <c r="S37" i="86"/>
  <c r="S36" i="86"/>
  <c r="S35" i="86"/>
  <c r="S34" i="86"/>
  <c r="S33" i="86"/>
  <c r="S32" i="86"/>
  <c r="S31" i="86"/>
  <c r="S30" i="86"/>
  <c r="S29" i="86"/>
  <c r="S28" i="86"/>
  <c r="S27" i="86"/>
  <c r="S26" i="86"/>
  <c r="S25" i="86"/>
  <c r="S24" i="86"/>
  <c r="S23" i="86"/>
  <c r="S22" i="86"/>
  <c r="S21" i="86"/>
  <c r="S20" i="86"/>
  <c r="S19" i="86"/>
  <c r="S18" i="86"/>
  <c r="S17" i="86"/>
  <c r="S16" i="86"/>
  <c r="S15" i="86"/>
  <c r="S14" i="86"/>
  <c r="S13" i="86"/>
  <c r="S12" i="86"/>
  <c r="S11" i="86"/>
  <c r="S6" i="86" s="1"/>
  <c r="S98" i="4" s="1"/>
  <c r="R6" i="86"/>
  <c r="Q6" i="86"/>
  <c r="P6" i="86"/>
  <c r="N6" i="86"/>
  <c r="L6" i="86"/>
  <c r="K6" i="86"/>
  <c r="J6" i="86"/>
  <c r="I6" i="86"/>
  <c r="H6" i="86"/>
  <c r="G6" i="86"/>
  <c r="F6" i="86"/>
  <c r="E6" i="86"/>
  <c r="R5" i="86"/>
  <c r="R7" i="86" s="1"/>
  <c r="Q5" i="86"/>
  <c r="P5" i="86"/>
  <c r="P7" i="86" s="1"/>
  <c r="N5" i="86"/>
  <c r="L5" i="86"/>
  <c r="L7" i="86" s="1"/>
  <c r="K5" i="86"/>
  <c r="J5" i="86"/>
  <c r="J7" i="86" s="1"/>
  <c r="I5" i="86"/>
  <c r="H5" i="86"/>
  <c r="H7" i="86" s="1"/>
  <c r="G5" i="86"/>
  <c r="F5" i="86"/>
  <c r="F7" i="86" s="1"/>
  <c r="E5" i="86"/>
  <c r="E7" i="86" s="1"/>
  <c r="E2" i="86"/>
  <c r="S45" i="85"/>
  <c r="S44" i="85"/>
  <c r="S43" i="85"/>
  <c r="S42" i="85"/>
  <c r="S41" i="85"/>
  <c r="S40" i="85"/>
  <c r="S39" i="85"/>
  <c r="S38" i="85"/>
  <c r="S37" i="85"/>
  <c r="S36" i="85"/>
  <c r="S35" i="85"/>
  <c r="S34" i="85"/>
  <c r="S33" i="85"/>
  <c r="S32" i="85"/>
  <c r="S31" i="85"/>
  <c r="S30" i="85"/>
  <c r="S29" i="85"/>
  <c r="S28" i="85"/>
  <c r="S27" i="85"/>
  <c r="S26" i="85"/>
  <c r="S25" i="85"/>
  <c r="S24" i="85"/>
  <c r="S23" i="85"/>
  <c r="S22" i="85"/>
  <c r="S21" i="85"/>
  <c r="S20" i="85"/>
  <c r="S19" i="85"/>
  <c r="S18" i="85"/>
  <c r="S17" i="85"/>
  <c r="S16" i="85"/>
  <c r="S15" i="85"/>
  <c r="S14" i="85"/>
  <c r="S13" i="85"/>
  <c r="S12" i="85"/>
  <c r="S11" i="85"/>
  <c r="R6" i="85"/>
  <c r="Q6" i="85"/>
  <c r="P6" i="85"/>
  <c r="N6" i="85"/>
  <c r="N7" i="85" s="1"/>
  <c r="L6" i="85"/>
  <c r="K6" i="85"/>
  <c r="J6" i="85"/>
  <c r="I6" i="85"/>
  <c r="I7" i="85" s="1"/>
  <c r="H6" i="85"/>
  <c r="G6" i="85"/>
  <c r="F6" i="85"/>
  <c r="E6" i="85"/>
  <c r="H7" i="85"/>
  <c r="E2" i="85"/>
  <c r="S45" i="84"/>
  <c r="S44" i="84"/>
  <c r="S43" i="84"/>
  <c r="S42" i="84"/>
  <c r="S41" i="84"/>
  <c r="S40" i="84"/>
  <c r="S39" i="84"/>
  <c r="S38" i="84"/>
  <c r="S37" i="84"/>
  <c r="S36" i="84"/>
  <c r="S35" i="84"/>
  <c r="S34" i="84"/>
  <c r="S33" i="84"/>
  <c r="S32" i="84"/>
  <c r="S31" i="84"/>
  <c r="S30" i="84"/>
  <c r="S29" i="84"/>
  <c r="S28" i="84"/>
  <c r="S27" i="84"/>
  <c r="S26" i="84"/>
  <c r="S25" i="84"/>
  <c r="S24" i="84"/>
  <c r="S23" i="84"/>
  <c r="S22" i="84"/>
  <c r="S21" i="84"/>
  <c r="S20" i="84"/>
  <c r="S19" i="84"/>
  <c r="S18" i="84"/>
  <c r="S17" i="84"/>
  <c r="S16" i="84"/>
  <c r="S15" i="84"/>
  <c r="S14" i="84"/>
  <c r="S13" i="84"/>
  <c r="S12" i="84"/>
  <c r="S11" i="84"/>
  <c r="S6" i="84" s="1"/>
  <c r="R6" i="84"/>
  <c r="Q6" i="84"/>
  <c r="P6" i="84"/>
  <c r="N6" i="84"/>
  <c r="L6" i="84"/>
  <c r="K6" i="84"/>
  <c r="J6" i="84"/>
  <c r="I6" i="84"/>
  <c r="H6" i="84"/>
  <c r="G6" i="84"/>
  <c r="F6" i="84"/>
  <c r="E6" i="84"/>
  <c r="R7" i="84"/>
  <c r="L7" i="84"/>
  <c r="J7" i="84"/>
  <c r="H7" i="84"/>
  <c r="G7" i="84"/>
  <c r="E2" i="84"/>
  <c r="S45" i="83"/>
  <c r="S44" i="83"/>
  <c r="S43" i="83"/>
  <c r="S42" i="83"/>
  <c r="S41" i="83"/>
  <c r="S40" i="83"/>
  <c r="S39" i="83"/>
  <c r="S38" i="83"/>
  <c r="S37" i="83"/>
  <c r="S36" i="83"/>
  <c r="S35" i="83"/>
  <c r="S34" i="83"/>
  <c r="S33" i="83"/>
  <c r="S32" i="83"/>
  <c r="S31" i="83"/>
  <c r="S30" i="83"/>
  <c r="S29" i="83"/>
  <c r="S28" i="83"/>
  <c r="S27" i="83"/>
  <c r="S26" i="83"/>
  <c r="S25" i="83"/>
  <c r="S24" i="83"/>
  <c r="S23" i="83"/>
  <c r="S22" i="83"/>
  <c r="S21" i="83"/>
  <c r="S20" i="83"/>
  <c r="S19" i="83"/>
  <c r="S18" i="83"/>
  <c r="S17" i="83"/>
  <c r="S16" i="83"/>
  <c r="S15" i="83"/>
  <c r="S14" i="83"/>
  <c r="S13" i="83"/>
  <c r="S12" i="83"/>
  <c r="S11" i="83"/>
  <c r="R6" i="83"/>
  <c r="Q6" i="83"/>
  <c r="P6" i="83"/>
  <c r="N6" i="83"/>
  <c r="L6" i="83"/>
  <c r="K6" i="83"/>
  <c r="J6" i="83"/>
  <c r="I6" i="83"/>
  <c r="H6" i="83"/>
  <c r="G6" i="83"/>
  <c r="F6" i="83"/>
  <c r="E6" i="83"/>
  <c r="G7" i="83"/>
  <c r="E2" i="83"/>
  <c r="S45" i="82"/>
  <c r="S44" i="82"/>
  <c r="S43" i="82"/>
  <c r="S42" i="82"/>
  <c r="S41" i="82"/>
  <c r="S40" i="82"/>
  <c r="S39" i="82"/>
  <c r="S38" i="82"/>
  <c r="S37" i="82"/>
  <c r="S36" i="82"/>
  <c r="S35" i="82"/>
  <c r="S34" i="82"/>
  <c r="S33" i="82"/>
  <c r="S32" i="82"/>
  <c r="S31" i="82"/>
  <c r="S30" i="82"/>
  <c r="S29" i="82"/>
  <c r="S28" i="82"/>
  <c r="S27" i="82"/>
  <c r="S26" i="82"/>
  <c r="S25" i="82"/>
  <c r="S24" i="82"/>
  <c r="S23" i="82"/>
  <c r="S22" i="82"/>
  <c r="S21" i="82"/>
  <c r="S20" i="82"/>
  <c r="S19" i="82"/>
  <c r="S18" i="82"/>
  <c r="S17" i="82"/>
  <c r="S16" i="82"/>
  <c r="S15" i="82"/>
  <c r="S14" i="82"/>
  <c r="S13" i="82"/>
  <c r="S12" i="82"/>
  <c r="S11" i="82"/>
  <c r="S6" i="82" s="1"/>
  <c r="R6" i="82"/>
  <c r="Q6" i="82"/>
  <c r="P6" i="82"/>
  <c r="N6" i="82"/>
  <c r="L6" i="82"/>
  <c r="K6" i="82"/>
  <c r="J6" i="82"/>
  <c r="I6" i="82"/>
  <c r="H6" i="82"/>
  <c r="G6" i="82"/>
  <c r="F6" i="82"/>
  <c r="E6" i="82"/>
  <c r="E7" i="82" s="1"/>
  <c r="R7" i="82"/>
  <c r="L7" i="82"/>
  <c r="J7" i="82"/>
  <c r="H7" i="82"/>
  <c r="E2" i="82"/>
  <c r="S45" i="81"/>
  <c r="S44" i="81"/>
  <c r="S43" i="81"/>
  <c r="S42" i="81"/>
  <c r="S41" i="81"/>
  <c r="S40" i="81"/>
  <c r="S39" i="81"/>
  <c r="S38" i="81"/>
  <c r="S37" i="81"/>
  <c r="S36" i="81"/>
  <c r="S35" i="81"/>
  <c r="S34" i="81"/>
  <c r="S33" i="81"/>
  <c r="S32" i="81"/>
  <c r="S31" i="81"/>
  <c r="S30" i="81"/>
  <c r="S29" i="81"/>
  <c r="S28" i="81"/>
  <c r="S27" i="81"/>
  <c r="S26" i="81"/>
  <c r="S25" i="81"/>
  <c r="S24" i="81"/>
  <c r="S23" i="81"/>
  <c r="S22" i="81"/>
  <c r="S21" i="81"/>
  <c r="S20" i="81"/>
  <c r="S19" i="81"/>
  <c r="S18" i="81"/>
  <c r="S17" i="81"/>
  <c r="S16" i="81"/>
  <c r="S15" i="81"/>
  <c r="S14" i="81"/>
  <c r="S13" i="81"/>
  <c r="S12" i="81"/>
  <c r="S11" i="81"/>
  <c r="R6" i="81"/>
  <c r="Q6" i="81"/>
  <c r="P6" i="81"/>
  <c r="N6" i="81"/>
  <c r="L6" i="81"/>
  <c r="K6" i="81"/>
  <c r="J6" i="81"/>
  <c r="I6" i="81"/>
  <c r="H6" i="81"/>
  <c r="G6" i="81"/>
  <c r="G7" i="81" s="1"/>
  <c r="F6" i="81"/>
  <c r="E6" i="81"/>
  <c r="N7" i="81"/>
  <c r="E2" i="81"/>
  <c r="S45" i="80"/>
  <c r="S44" i="80"/>
  <c r="S43" i="80"/>
  <c r="S42" i="80"/>
  <c r="S41" i="80"/>
  <c r="S40" i="80"/>
  <c r="S39" i="80"/>
  <c r="S38" i="80"/>
  <c r="S37" i="80"/>
  <c r="S36" i="80"/>
  <c r="S35" i="80"/>
  <c r="S34" i="80"/>
  <c r="S33" i="80"/>
  <c r="S32" i="80"/>
  <c r="S31" i="80"/>
  <c r="S30" i="80"/>
  <c r="S29" i="80"/>
  <c r="S28" i="80"/>
  <c r="S27" i="80"/>
  <c r="S26" i="80"/>
  <c r="S25" i="80"/>
  <c r="S24" i="80"/>
  <c r="S23" i="80"/>
  <c r="S22" i="80"/>
  <c r="S21" i="80"/>
  <c r="S20" i="80"/>
  <c r="S19" i="80"/>
  <c r="S18" i="80"/>
  <c r="S17" i="80"/>
  <c r="S16" i="80"/>
  <c r="S15" i="80"/>
  <c r="S14" i="80"/>
  <c r="S13" i="80"/>
  <c r="S12" i="80"/>
  <c r="S11" i="80"/>
  <c r="R6" i="80"/>
  <c r="Q6" i="80"/>
  <c r="P6" i="80"/>
  <c r="N6" i="80"/>
  <c r="N7" i="80" s="1"/>
  <c r="L6" i="80"/>
  <c r="L7" i="80" s="1"/>
  <c r="K6" i="80"/>
  <c r="J6" i="80"/>
  <c r="I6" i="80"/>
  <c r="H6" i="80"/>
  <c r="G6" i="80"/>
  <c r="F6" i="80"/>
  <c r="E6" i="80"/>
  <c r="R7" i="80"/>
  <c r="P7" i="80"/>
  <c r="I7" i="80"/>
  <c r="H7" i="80"/>
  <c r="E2" i="80"/>
  <c r="S45" i="79"/>
  <c r="S44" i="79"/>
  <c r="S43" i="79"/>
  <c r="S42" i="79"/>
  <c r="S41" i="79"/>
  <c r="S40" i="79"/>
  <c r="S39" i="79"/>
  <c r="S38" i="79"/>
  <c r="S37" i="79"/>
  <c r="S36" i="79"/>
  <c r="S35" i="79"/>
  <c r="S34" i="79"/>
  <c r="S33" i="79"/>
  <c r="S32" i="79"/>
  <c r="S31" i="79"/>
  <c r="S30" i="79"/>
  <c r="S29" i="79"/>
  <c r="S28" i="79"/>
  <c r="S27" i="79"/>
  <c r="S26" i="79"/>
  <c r="S25" i="79"/>
  <c r="S24" i="79"/>
  <c r="S23" i="79"/>
  <c r="S22" i="79"/>
  <c r="S21" i="79"/>
  <c r="S20" i="79"/>
  <c r="S19" i="79"/>
  <c r="S18" i="79"/>
  <c r="S17" i="79"/>
  <c r="S16" i="79"/>
  <c r="S15" i="79"/>
  <c r="S14" i="79"/>
  <c r="S13" i="79"/>
  <c r="S12" i="79"/>
  <c r="S11" i="79"/>
  <c r="S6" i="79" s="1"/>
  <c r="R6" i="79"/>
  <c r="Q6" i="79"/>
  <c r="P6" i="79"/>
  <c r="N6" i="79"/>
  <c r="L6" i="79"/>
  <c r="K6" i="79"/>
  <c r="J6" i="79"/>
  <c r="I6" i="79"/>
  <c r="H6" i="79"/>
  <c r="G6" i="79"/>
  <c r="F6" i="79"/>
  <c r="E6" i="79"/>
  <c r="P7" i="79"/>
  <c r="J7" i="79"/>
  <c r="F7" i="79"/>
  <c r="E2" i="79"/>
  <c r="S45" i="78"/>
  <c r="S44" i="78"/>
  <c r="S43" i="78"/>
  <c r="S42" i="78"/>
  <c r="S41" i="78"/>
  <c r="S40" i="78"/>
  <c r="S39" i="78"/>
  <c r="S38" i="78"/>
  <c r="S37" i="78"/>
  <c r="S36" i="78"/>
  <c r="S35" i="78"/>
  <c r="S34" i="78"/>
  <c r="S33" i="78"/>
  <c r="S32" i="78"/>
  <c r="S31" i="78"/>
  <c r="S30" i="78"/>
  <c r="S29" i="78"/>
  <c r="S28" i="78"/>
  <c r="S27" i="78"/>
  <c r="S26" i="78"/>
  <c r="S25" i="78"/>
  <c r="S24" i="78"/>
  <c r="S23" i="78"/>
  <c r="S22" i="78"/>
  <c r="S21" i="78"/>
  <c r="S20" i="78"/>
  <c r="S19" i="78"/>
  <c r="S18" i="78"/>
  <c r="S17" i="78"/>
  <c r="S16" i="78"/>
  <c r="S15" i="78"/>
  <c r="S14" i="78"/>
  <c r="S13" i="78"/>
  <c r="S12" i="78"/>
  <c r="S11" i="78"/>
  <c r="R6" i="78"/>
  <c r="Q6" i="78"/>
  <c r="P6" i="78"/>
  <c r="N6" i="78"/>
  <c r="L6" i="78"/>
  <c r="L7" i="78" s="1"/>
  <c r="K6" i="78"/>
  <c r="K7" i="78" s="1"/>
  <c r="J6" i="78"/>
  <c r="I6" i="78"/>
  <c r="H6" i="78"/>
  <c r="G6" i="78"/>
  <c r="F6" i="78"/>
  <c r="E6" i="78"/>
  <c r="R7" i="78"/>
  <c r="P7" i="78"/>
  <c r="H7" i="78"/>
  <c r="E2" i="78"/>
  <c r="E5" i="77"/>
  <c r="F5" i="77"/>
  <c r="F7" i="77" s="1"/>
  <c r="G5" i="77"/>
  <c r="H5" i="77"/>
  <c r="I5" i="77"/>
  <c r="J5" i="77"/>
  <c r="J7" i="77" s="1"/>
  <c r="K5" i="77"/>
  <c r="L5" i="77"/>
  <c r="N5" i="77"/>
  <c r="P5" i="77"/>
  <c r="Q5" i="77"/>
  <c r="R5" i="77"/>
  <c r="C9" i="77"/>
  <c r="C8" i="77"/>
  <c r="E5" i="76"/>
  <c r="F5" i="76"/>
  <c r="F7" i="76" s="1"/>
  <c r="G5" i="76"/>
  <c r="H5" i="76"/>
  <c r="I5" i="76"/>
  <c r="J5" i="76"/>
  <c r="K5" i="76"/>
  <c r="L5" i="76"/>
  <c r="N5" i="76"/>
  <c r="P5" i="76"/>
  <c r="Q5" i="76"/>
  <c r="R5" i="76"/>
  <c r="C9" i="76"/>
  <c r="C8" i="76"/>
  <c r="E5" i="75"/>
  <c r="F5" i="75"/>
  <c r="G5" i="75"/>
  <c r="H5" i="75"/>
  <c r="I5" i="75"/>
  <c r="J5" i="75"/>
  <c r="J7" i="75" s="1"/>
  <c r="K5" i="75"/>
  <c r="L5" i="75"/>
  <c r="N5" i="75"/>
  <c r="P5" i="75"/>
  <c r="Q5" i="75"/>
  <c r="R5" i="75"/>
  <c r="C9" i="75"/>
  <c r="C8" i="75"/>
  <c r="E5" i="74"/>
  <c r="F5" i="74"/>
  <c r="G5" i="74"/>
  <c r="H5" i="74"/>
  <c r="I5" i="74"/>
  <c r="J5" i="74"/>
  <c r="K5" i="74"/>
  <c r="L5" i="74"/>
  <c r="N5" i="74"/>
  <c r="P5" i="74"/>
  <c r="P7" i="74" s="1"/>
  <c r="Q5" i="74"/>
  <c r="R5" i="74"/>
  <c r="C9" i="74"/>
  <c r="C8" i="74"/>
  <c r="E5" i="73"/>
  <c r="F5" i="73"/>
  <c r="F7" i="73" s="1"/>
  <c r="G5" i="73"/>
  <c r="H5" i="73"/>
  <c r="I5" i="73"/>
  <c r="J5" i="73"/>
  <c r="J7" i="73" s="1"/>
  <c r="K5" i="73"/>
  <c r="L5" i="73"/>
  <c r="N5" i="73"/>
  <c r="P5" i="73"/>
  <c r="P7" i="73" s="1"/>
  <c r="Q5" i="73"/>
  <c r="R5" i="73"/>
  <c r="R7" i="73" s="1"/>
  <c r="C9" i="73"/>
  <c r="C8" i="73"/>
  <c r="S45" i="77"/>
  <c r="S44" i="77"/>
  <c r="S43" i="77"/>
  <c r="S42" i="77"/>
  <c r="S41" i="77"/>
  <c r="S40" i="77"/>
  <c r="S39" i="77"/>
  <c r="S38" i="77"/>
  <c r="S37" i="77"/>
  <c r="S36" i="77"/>
  <c r="S35" i="77"/>
  <c r="S34" i="77"/>
  <c r="S33" i="77"/>
  <c r="S32" i="77"/>
  <c r="S31" i="77"/>
  <c r="S30" i="77"/>
  <c r="S29" i="77"/>
  <c r="S28" i="77"/>
  <c r="S27" i="77"/>
  <c r="S26" i="77"/>
  <c r="S25" i="77"/>
  <c r="S24" i="77"/>
  <c r="S23" i="77"/>
  <c r="S22" i="77"/>
  <c r="S21" i="77"/>
  <c r="S20" i="77"/>
  <c r="S19" i="77"/>
  <c r="S18" i="77"/>
  <c r="S17" i="77"/>
  <c r="S16" i="77"/>
  <c r="S15" i="77"/>
  <c r="S14" i="77"/>
  <c r="S13" i="77"/>
  <c r="S12" i="77"/>
  <c r="S11" i="77"/>
  <c r="R6" i="77"/>
  <c r="Q6" i="77"/>
  <c r="Q7" i="77" s="1"/>
  <c r="P6" i="77"/>
  <c r="N6" i="77"/>
  <c r="L6" i="77"/>
  <c r="L7" i="77" s="1"/>
  <c r="K6" i="77"/>
  <c r="K7" i="77" s="1"/>
  <c r="J6" i="77"/>
  <c r="I6" i="77"/>
  <c r="I7" i="77" s="1"/>
  <c r="H6" i="77"/>
  <c r="G6" i="77"/>
  <c r="G7" i="77" s="1"/>
  <c r="F6" i="77"/>
  <c r="E6" i="77"/>
  <c r="P7" i="77"/>
  <c r="E2" i="77"/>
  <c r="S45" i="76"/>
  <c r="S44" i="76"/>
  <c r="S43" i="76"/>
  <c r="S42" i="76"/>
  <c r="S41" i="76"/>
  <c r="S40" i="76"/>
  <c r="S39" i="76"/>
  <c r="S38" i="76"/>
  <c r="S37" i="76"/>
  <c r="S36" i="76"/>
  <c r="S35" i="76"/>
  <c r="S34" i="76"/>
  <c r="S33" i="76"/>
  <c r="S32" i="76"/>
  <c r="S31" i="76"/>
  <c r="S30" i="76"/>
  <c r="S29" i="76"/>
  <c r="S28" i="76"/>
  <c r="S27" i="76"/>
  <c r="S26" i="76"/>
  <c r="S25" i="76"/>
  <c r="S24" i="76"/>
  <c r="S23" i="76"/>
  <c r="S22" i="76"/>
  <c r="S21" i="76"/>
  <c r="S20" i="76"/>
  <c r="S19" i="76"/>
  <c r="S18" i="76"/>
  <c r="S17" i="76"/>
  <c r="S16" i="76"/>
  <c r="S15" i="76"/>
  <c r="S14" i="76"/>
  <c r="S13" i="76"/>
  <c r="S12" i="76"/>
  <c r="S11" i="76"/>
  <c r="R6" i="76"/>
  <c r="Q6" i="76"/>
  <c r="P6" i="76"/>
  <c r="N6" i="76"/>
  <c r="N7" i="76" s="1"/>
  <c r="L6" i="76"/>
  <c r="K6" i="76"/>
  <c r="J6" i="76"/>
  <c r="I6" i="76"/>
  <c r="H6" i="76"/>
  <c r="G6" i="76"/>
  <c r="F6" i="76"/>
  <c r="E6" i="76"/>
  <c r="P7" i="76"/>
  <c r="J7" i="76"/>
  <c r="E2" i="76"/>
  <c r="S45" i="75"/>
  <c r="S44" i="75"/>
  <c r="S43" i="75"/>
  <c r="S42" i="75"/>
  <c r="S41" i="75"/>
  <c r="S40" i="75"/>
  <c r="S39" i="75"/>
  <c r="S38" i="75"/>
  <c r="S37" i="75"/>
  <c r="S36" i="75"/>
  <c r="S35" i="75"/>
  <c r="S34" i="75"/>
  <c r="S33" i="75"/>
  <c r="S32" i="75"/>
  <c r="S31" i="75"/>
  <c r="S30" i="75"/>
  <c r="S29" i="75"/>
  <c r="S28" i="75"/>
  <c r="S27" i="75"/>
  <c r="S26" i="75"/>
  <c r="S25" i="75"/>
  <c r="S24" i="75"/>
  <c r="S23" i="75"/>
  <c r="S22" i="75"/>
  <c r="S21" i="75"/>
  <c r="S20" i="75"/>
  <c r="S19" i="75"/>
  <c r="S18" i="75"/>
  <c r="S17" i="75"/>
  <c r="S16" i="75"/>
  <c r="S15" i="75"/>
  <c r="S14" i="75"/>
  <c r="S13" i="75"/>
  <c r="S12" i="75"/>
  <c r="S11" i="75"/>
  <c r="R6" i="75"/>
  <c r="Q6" i="75"/>
  <c r="P6" i="75"/>
  <c r="P7" i="75" s="1"/>
  <c r="N6" i="75"/>
  <c r="L6" i="75"/>
  <c r="K6" i="75"/>
  <c r="J6" i="75"/>
  <c r="I6" i="75"/>
  <c r="H6" i="75"/>
  <c r="G6" i="75"/>
  <c r="F6" i="75"/>
  <c r="F7" i="75" s="1"/>
  <c r="E6" i="75"/>
  <c r="L7" i="75"/>
  <c r="E2" i="75"/>
  <c r="S45" i="74"/>
  <c r="S44" i="74"/>
  <c r="S43" i="74"/>
  <c r="S42" i="74"/>
  <c r="S41" i="74"/>
  <c r="S40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17" i="74"/>
  <c r="S16" i="74"/>
  <c r="S15" i="74"/>
  <c r="S14" i="74"/>
  <c r="S13" i="74"/>
  <c r="S12" i="74"/>
  <c r="S11" i="74"/>
  <c r="S6" i="74"/>
  <c r="R6" i="74"/>
  <c r="Q6" i="74"/>
  <c r="P6" i="74"/>
  <c r="N6" i="74"/>
  <c r="N7" i="74" s="1"/>
  <c r="L6" i="74"/>
  <c r="K6" i="74"/>
  <c r="J6" i="74"/>
  <c r="I6" i="74"/>
  <c r="H6" i="74"/>
  <c r="G6" i="74"/>
  <c r="F6" i="74"/>
  <c r="E6" i="74"/>
  <c r="J7" i="74"/>
  <c r="F7" i="74"/>
  <c r="E2" i="74"/>
  <c r="S45" i="73"/>
  <c r="S44" i="73"/>
  <c r="S43" i="73"/>
  <c r="S42" i="73"/>
  <c r="S41" i="73"/>
  <c r="S40" i="73"/>
  <c r="S39" i="73"/>
  <c r="S38" i="73"/>
  <c r="S37" i="73"/>
  <c r="S36" i="73"/>
  <c r="S35" i="73"/>
  <c r="S34" i="73"/>
  <c r="S33" i="73"/>
  <c r="S32" i="73"/>
  <c r="S31" i="73"/>
  <c r="S30" i="73"/>
  <c r="S29" i="73"/>
  <c r="S28" i="73"/>
  <c r="S27" i="73"/>
  <c r="S26" i="73"/>
  <c r="S25" i="73"/>
  <c r="S24" i="73"/>
  <c r="S23" i="73"/>
  <c r="S22" i="73"/>
  <c r="S21" i="73"/>
  <c r="S20" i="73"/>
  <c r="S19" i="73"/>
  <c r="S18" i="73"/>
  <c r="S17" i="73"/>
  <c r="S16" i="73"/>
  <c r="S15" i="73"/>
  <c r="S14" i="73"/>
  <c r="S13" i="73"/>
  <c r="S12" i="73"/>
  <c r="S11" i="73"/>
  <c r="R6" i="73"/>
  <c r="Q6" i="73"/>
  <c r="P6" i="73"/>
  <c r="N6" i="73"/>
  <c r="L6" i="73"/>
  <c r="K6" i="73"/>
  <c r="J6" i="73"/>
  <c r="I6" i="73"/>
  <c r="H6" i="73"/>
  <c r="G6" i="73"/>
  <c r="F6" i="73"/>
  <c r="E6" i="73"/>
  <c r="L7" i="73"/>
  <c r="K7" i="73"/>
  <c r="H7" i="73"/>
  <c r="E2" i="73"/>
  <c r="E5" i="72"/>
  <c r="F5" i="72"/>
  <c r="G5" i="72"/>
  <c r="H5" i="72"/>
  <c r="I5" i="72"/>
  <c r="J5" i="72"/>
  <c r="K5" i="72"/>
  <c r="L5" i="72"/>
  <c r="L7" i="72" s="1"/>
  <c r="N5" i="72"/>
  <c r="P5" i="72"/>
  <c r="Q5" i="72"/>
  <c r="R5" i="72"/>
  <c r="R7" i="72" s="1"/>
  <c r="C9" i="72"/>
  <c r="C8" i="72"/>
  <c r="E5" i="71"/>
  <c r="F5" i="71"/>
  <c r="F7" i="71" s="1"/>
  <c r="G5" i="71"/>
  <c r="H5" i="71"/>
  <c r="H7" i="71" s="1"/>
  <c r="I5" i="71"/>
  <c r="J5" i="71"/>
  <c r="K5" i="71"/>
  <c r="L5" i="71"/>
  <c r="N5" i="71"/>
  <c r="P5" i="71"/>
  <c r="P7" i="71" s="1"/>
  <c r="Q5" i="71"/>
  <c r="R5" i="71"/>
  <c r="C9" i="71"/>
  <c r="C8" i="71"/>
  <c r="E5" i="70"/>
  <c r="F5" i="70"/>
  <c r="G5" i="70"/>
  <c r="G7" i="70" s="1"/>
  <c r="H5" i="70"/>
  <c r="I5" i="70"/>
  <c r="J5" i="70"/>
  <c r="K5" i="70"/>
  <c r="L5" i="70"/>
  <c r="N5" i="70"/>
  <c r="P5" i="70"/>
  <c r="Q5" i="70"/>
  <c r="R5" i="70"/>
  <c r="C9" i="70"/>
  <c r="C8" i="70"/>
  <c r="E5" i="69"/>
  <c r="F5" i="69"/>
  <c r="F7" i="69" s="1"/>
  <c r="G5" i="69"/>
  <c r="H5" i="69"/>
  <c r="I5" i="69"/>
  <c r="J5" i="69"/>
  <c r="K5" i="69"/>
  <c r="L5" i="69"/>
  <c r="N5" i="69"/>
  <c r="P5" i="69"/>
  <c r="P7" i="69" s="1"/>
  <c r="Q5" i="69"/>
  <c r="R5" i="69"/>
  <c r="C9" i="69"/>
  <c r="C8" i="69"/>
  <c r="E5" i="68"/>
  <c r="F5" i="68"/>
  <c r="G5" i="68"/>
  <c r="H5" i="68"/>
  <c r="H7" i="68" s="1"/>
  <c r="I5" i="68"/>
  <c r="J5" i="68"/>
  <c r="K5" i="68"/>
  <c r="L5" i="68"/>
  <c r="L7" i="68" s="1"/>
  <c r="N5" i="68"/>
  <c r="P5" i="68"/>
  <c r="Q5" i="68"/>
  <c r="R5" i="68"/>
  <c r="R7" i="68" s="1"/>
  <c r="C9" i="68"/>
  <c r="C8" i="68"/>
  <c r="E5" i="67"/>
  <c r="F5" i="67"/>
  <c r="F7" i="67" s="1"/>
  <c r="G5" i="67"/>
  <c r="H5" i="67"/>
  <c r="I5" i="67"/>
  <c r="J5" i="67"/>
  <c r="K5" i="67"/>
  <c r="L5" i="67"/>
  <c r="N5" i="67"/>
  <c r="P5" i="67"/>
  <c r="P7" i="67" s="1"/>
  <c r="Q5" i="67"/>
  <c r="R5" i="67"/>
  <c r="C9" i="67"/>
  <c r="C8" i="67"/>
  <c r="E5" i="66"/>
  <c r="F5" i="66"/>
  <c r="G5" i="66"/>
  <c r="H5" i="66"/>
  <c r="I5" i="66"/>
  <c r="J5" i="66"/>
  <c r="K5" i="66"/>
  <c r="L5" i="66"/>
  <c r="L7" i="66" s="1"/>
  <c r="N5" i="66"/>
  <c r="P5" i="66"/>
  <c r="Q5" i="66"/>
  <c r="R5" i="66"/>
  <c r="C9" i="66"/>
  <c r="C8" i="66"/>
  <c r="E5" i="65"/>
  <c r="F5" i="65"/>
  <c r="G5" i="65"/>
  <c r="H5" i="65"/>
  <c r="I5" i="65"/>
  <c r="J5" i="65"/>
  <c r="K5" i="65"/>
  <c r="L5" i="65"/>
  <c r="N5" i="65"/>
  <c r="P5" i="65"/>
  <c r="Q5" i="65"/>
  <c r="R5" i="65"/>
  <c r="C9" i="65"/>
  <c r="C8" i="65"/>
  <c r="E5" i="64"/>
  <c r="F5" i="64"/>
  <c r="G5" i="64"/>
  <c r="H5" i="64"/>
  <c r="H7" i="64" s="1"/>
  <c r="I5" i="64"/>
  <c r="J5" i="64"/>
  <c r="K5" i="64"/>
  <c r="L5" i="64"/>
  <c r="N5" i="64"/>
  <c r="P5" i="64"/>
  <c r="Q5" i="64"/>
  <c r="R5" i="64"/>
  <c r="R7" i="64" s="1"/>
  <c r="C9" i="64"/>
  <c r="C8" i="64"/>
  <c r="E5" i="63"/>
  <c r="F5" i="63"/>
  <c r="G5" i="63"/>
  <c r="H5" i="63"/>
  <c r="I5" i="63"/>
  <c r="J5" i="63"/>
  <c r="J7" i="63" s="1"/>
  <c r="K5" i="63"/>
  <c r="L5" i="63"/>
  <c r="N5" i="63"/>
  <c r="P5" i="63"/>
  <c r="P7" i="63" s="1"/>
  <c r="Q5" i="63"/>
  <c r="R5" i="63"/>
  <c r="C9" i="63"/>
  <c r="C8" i="63"/>
  <c r="R73" i="4"/>
  <c r="S5" i="63" s="1"/>
  <c r="S45" i="72"/>
  <c r="S44" i="72"/>
  <c r="S43" i="72"/>
  <c r="S42" i="72"/>
  <c r="S41" i="72"/>
  <c r="S40" i="72"/>
  <c r="S39" i="72"/>
  <c r="S38" i="72"/>
  <c r="S37" i="72"/>
  <c r="S36" i="72"/>
  <c r="S35" i="72"/>
  <c r="S34" i="72"/>
  <c r="S33" i="72"/>
  <c r="S32" i="72"/>
  <c r="S31" i="72"/>
  <c r="S30" i="72"/>
  <c r="S29" i="72"/>
  <c r="S28" i="72"/>
  <c r="S27" i="72"/>
  <c r="S26" i="72"/>
  <c r="S25" i="72"/>
  <c r="S24" i="72"/>
  <c r="S23" i="72"/>
  <c r="S22" i="72"/>
  <c r="S21" i="72"/>
  <c r="S20" i="72"/>
  <c r="S19" i="72"/>
  <c r="S18" i="72"/>
  <c r="S17" i="72"/>
  <c r="S16" i="72"/>
  <c r="S15" i="72"/>
  <c r="S14" i="72"/>
  <c r="S13" i="72"/>
  <c r="S12" i="72"/>
  <c r="S11" i="72"/>
  <c r="S6" i="72" s="1"/>
  <c r="R6" i="72"/>
  <c r="Q6" i="72"/>
  <c r="P6" i="72"/>
  <c r="P7" i="72" s="1"/>
  <c r="N6" i="72"/>
  <c r="L6" i="72"/>
  <c r="K6" i="72"/>
  <c r="J6" i="72"/>
  <c r="J7" i="72" s="1"/>
  <c r="I6" i="72"/>
  <c r="H6" i="72"/>
  <c r="G6" i="72"/>
  <c r="F6" i="72"/>
  <c r="E6" i="72"/>
  <c r="F7" i="72"/>
  <c r="E2" i="72"/>
  <c r="S45" i="71"/>
  <c r="S44" i="71"/>
  <c r="S43" i="71"/>
  <c r="S42" i="71"/>
  <c r="S41" i="71"/>
  <c r="S40" i="71"/>
  <c r="S39" i="71"/>
  <c r="S38" i="71"/>
  <c r="S37" i="71"/>
  <c r="S36" i="71"/>
  <c r="S35" i="71"/>
  <c r="S34" i="71"/>
  <c r="S33" i="71"/>
  <c r="S32" i="71"/>
  <c r="S31" i="71"/>
  <c r="S30" i="71"/>
  <c r="S29" i="71"/>
  <c r="S28" i="71"/>
  <c r="S27" i="71"/>
  <c r="S26" i="71"/>
  <c r="S25" i="71"/>
  <c r="S24" i="71"/>
  <c r="S23" i="71"/>
  <c r="S22" i="71"/>
  <c r="S21" i="71"/>
  <c r="S20" i="71"/>
  <c r="S19" i="71"/>
  <c r="S18" i="71"/>
  <c r="S17" i="71"/>
  <c r="S16" i="71"/>
  <c r="S15" i="71"/>
  <c r="S14" i="71"/>
  <c r="S13" i="71"/>
  <c r="S12" i="71"/>
  <c r="S11" i="71"/>
  <c r="R6" i="71"/>
  <c r="Q6" i="71"/>
  <c r="P6" i="71"/>
  <c r="N6" i="71"/>
  <c r="L6" i="71"/>
  <c r="L7" i="71" s="1"/>
  <c r="K6" i="71"/>
  <c r="K7" i="71" s="1"/>
  <c r="J6" i="71"/>
  <c r="I6" i="71"/>
  <c r="H6" i="71"/>
  <c r="G6" i="71"/>
  <c r="F6" i="71"/>
  <c r="E6" i="71"/>
  <c r="R7" i="71"/>
  <c r="Q7" i="71"/>
  <c r="J7" i="71"/>
  <c r="G7" i="71"/>
  <c r="E2" i="71"/>
  <c r="S45" i="70"/>
  <c r="S44" i="70"/>
  <c r="S43" i="70"/>
  <c r="S42" i="70"/>
  <c r="S41" i="70"/>
  <c r="S40" i="70"/>
  <c r="S39" i="70"/>
  <c r="S38" i="70"/>
  <c r="S37" i="70"/>
  <c r="S36" i="70"/>
  <c r="S35" i="70"/>
  <c r="S34" i="70"/>
  <c r="S33" i="70"/>
  <c r="S32" i="70"/>
  <c r="S31" i="70"/>
  <c r="S30" i="70"/>
  <c r="S29" i="70"/>
  <c r="S28" i="70"/>
  <c r="S27" i="70"/>
  <c r="S26" i="70"/>
  <c r="S25" i="70"/>
  <c r="S24" i="70"/>
  <c r="S23" i="70"/>
  <c r="S22" i="70"/>
  <c r="S21" i="70"/>
  <c r="S20" i="70"/>
  <c r="S19" i="70"/>
  <c r="S18" i="70"/>
  <c r="S17" i="70"/>
  <c r="S16" i="70"/>
  <c r="S15" i="70"/>
  <c r="S14" i="70"/>
  <c r="S13" i="70"/>
  <c r="S12" i="70"/>
  <c r="S11" i="70"/>
  <c r="R6" i="70"/>
  <c r="Q6" i="70"/>
  <c r="P6" i="70"/>
  <c r="N6" i="70"/>
  <c r="L6" i="70"/>
  <c r="L7" i="70" s="1"/>
  <c r="K6" i="70"/>
  <c r="J6" i="70"/>
  <c r="I6" i="70"/>
  <c r="H6" i="70"/>
  <c r="H7" i="70" s="1"/>
  <c r="G6" i="70"/>
  <c r="F6" i="70"/>
  <c r="E6" i="70"/>
  <c r="R7" i="70"/>
  <c r="E2" i="70"/>
  <c r="S45" i="69"/>
  <c r="S44" i="69"/>
  <c r="S43" i="69"/>
  <c r="S42" i="69"/>
  <c r="S41" i="69"/>
  <c r="S40" i="69"/>
  <c r="S39" i="69"/>
  <c r="S38" i="69"/>
  <c r="S37" i="69"/>
  <c r="S36" i="69"/>
  <c r="S35" i="69"/>
  <c r="S34" i="69"/>
  <c r="S33" i="69"/>
  <c r="S32" i="69"/>
  <c r="S31" i="69"/>
  <c r="S30" i="69"/>
  <c r="S29" i="69"/>
  <c r="S28" i="69"/>
  <c r="S27" i="69"/>
  <c r="S26" i="69"/>
  <c r="S25" i="69"/>
  <c r="S24" i="69"/>
  <c r="S23" i="69"/>
  <c r="S22" i="69"/>
  <c r="S21" i="69"/>
  <c r="S20" i="69"/>
  <c r="S19" i="69"/>
  <c r="S18" i="69"/>
  <c r="S17" i="69"/>
  <c r="S16" i="69"/>
  <c r="S15" i="69"/>
  <c r="S14" i="69"/>
  <c r="S13" i="69"/>
  <c r="S12" i="69"/>
  <c r="S11" i="69"/>
  <c r="R6" i="69"/>
  <c r="Q6" i="69"/>
  <c r="Q7" i="69" s="1"/>
  <c r="P6" i="69"/>
  <c r="N6" i="69"/>
  <c r="L6" i="69"/>
  <c r="K6" i="69"/>
  <c r="J6" i="69"/>
  <c r="I6" i="69"/>
  <c r="H6" i="69"/>
  <c r="G6" i="69"/>
  <c r="G7" i="69" s="1"/>
  <c r="F6" i="69"/>
  <c r="E6" i="69"/>
  <c r="J7" i="69"/>
  <c r="E2" i="69"/>
  <c r="S45" i="68"/>
  <c r="S44" i="68"/>
  <c r="S43" i="68"/>
  <c r="S42" i="68"/>
  <c r="S41" i="68"/>
  <c r="S40" i="68"/>
  <c r="S39" i="68"/>
  <c r="S38" i="68"/>
  <c r="S37" i="68"/>
  <c r="S36" i="68"/>
  <c r="S35" i="68"/>
  <c r="S34" i="68"/>
  <c r="S33" i="68"/>
  <c r="S32" i="68"/>
  <c r="S31" i="68"/>
  <c r="S30" i="68"/>
  <c r="S29" i="68"/>
  <c r="S28" i="68"/>
  <c r="S27" i="68"/>
  <c r="S26" i="68"/>
  <c r="S25" i="68"/>
  <c r="S24" i="68"/>
  <c r="S23" i="68"/>
  <c r="S22" i="68"/>
  <c r="S21" i="68"/>
  <c r="S20" i="68"/>
  <c r="S19" i="68"/>
  <c r="S18" i="68"/>
  <c r="S17" i="68"/>
  <c r="S16" i="68"/>
  <c r="S15" i="68"/>
  <c r="S14" i="68"/>
  <c r="S13" i="68"/>
  <c r="S12" i="68"/>
  <c r="S11" i="68"/>
  <c r="R6" i="68"/>
  <c r="Q6" i="68"/>
  <c r="P6" i="68"/>
  <c r="N6" i="68"/>
  <c r="L6" i="68"/>
  <c r="K6" i="68"/>
  <c r="J6" i="68"/>
  <c r="I6" i="68"/>
  <c r="H6" i="68"/>
  <c r="G6" i="68"/>
  <c r="F6" i="68"/>
  <c r="E6" i="68"/>
  <c r="P7" i="68"/>
  <c r="J7" i="68"/>
  <c r="F7" i="68"/>
  <c r="E2" i="68"/>
  <c r="S45" i="67"/>
  <c r="S44" i="67"/>
  <c r="S43" i="67"/>
  <c r="S42" i="67"/>
  <c r="S41" i="67"/>
  <c r="S40" i="67"/>
  <c r="S39" i="67"/>
  <c r="S38" i="67"/>
  <c r="S37" i="67"/>
  <c r="S36" i="67"/>
  <c r="S35" i="67"/>
  <c r="S34" i="67"/>
  <c r="S33" i="67"/>
  <c r="S32" i="67"/>
  <c r="S31" i="67"/>
  <c r="S30" i="67"/>
  <c r="S29" i="67"/>
  <c r="S28" i="67"/>
  <c r="S27" i="67"/>
  <c r="S26" i="67"/>
  <c r="S25" i="67"/>
  <c r="S24" i="67"/>
  <c r="S23" i="67"/>
  <c r="S22" i="67"/>
  <c r="S21" i="67"/>
  <c r="S20" i="67"/>
  <c r="S19" i="67"/>
  <c r="S18" i="67"/>
  <c r="S17" i="67"/>
  <c r="S16" i="67"/>
  <c r="S15" i="67"/>
  <c r="S14" i="67"/>
  <c r="S13" i="67"/>
  <c r="S12" i="67"/>
  <c r="S11" i="67"/>
  <c r="S6" i="67" s="1"/>
  <c r="R6" i="67"/>
  <c r="Q6" i="67"/>
  <c r="P6" i="67"/>
  <c r="N6" i="67"/>
  <c r="N7" i="67" s="1"/>
  <c r="L6" i="67"/>
  <c r="L7" i="67" s="1"/>
  <c r="K6" i="67"/>
  <c r="J6" i="67"/>
  <c r="I6" i="67"/>
  <c r="H6" i="67"/>
  <c r="G6" i="67"/>
  <c r="F6" i="67"/>
  <c r="E6" i="67"/>
  <c r="E2" i="67"/>
  <c r="S45" i="66"/>
  <c r="S44" i="66"/>
  <c r="S43" i="66"/>
  <c r="S42" i="66"/>
  <c r="S41" i="66"/>
  <c r="S40" i="66"/>
  <c r="S39" i="66"/>
  <c r="S38" i="66"/>
  <c r="S37" i="66"/>
  <c r="S36" i="66"/>
  <c r="S35" i="66"/>
  <c r="S34" i="66"/>
  <c r="S33" i="66"/>
  <c r="S32" i="66"/>
  <c r="S31" i="66"/>
  <c r="S30" i="66"/>
  <c r="S29" i="66"/>
  <c r="S28" i="66"/>
  <c r="S27" i="66"/>
  <c r="S26" i="66"/>
  <c r="S25" i="66"/>
  <c r="S24" i="66"/>
  <c r="S23" i="66"/>
  <c r="S22" i="66"/>
  <c r="S21" i="66"/>
  <c r="S20" i="66"/>
  <c r="S19" i="66"/>
  <c r="S18" i="66"/>
  <c r="S17" i="66"/>
  <c r="S16" i="66"/>
  <c r="S15" i="66"/>
  <c r="S14" i="66"/>
  <c r="S13" i="66"/>
  <c r="S12" i="66"/>
  <c r="S11" i="66"/>
  <c r="R6" i="66"/>
  <c r="Q6" i="66"/>
  <c r="P6" i="66"/>
  <c r="P7" i="66" s="1"/>
  <c r="N6" i="66"/>
  <c r="L6" i="66"/>
  <c r="K6" i="66"/>
  <c r="J6" i="66"/>
  <c r="I6" i="66"/>
  <c r="I7" i="66" s="1"/>
  <c r="H6" i="66"/>
  <c r="G6" i="66"/>
  <c r="F6" i="66"/>
  <c r="F7" i="66" s="1"/>
  <c r="E6" i="66"/>
  <c r="E7" i="66" s="1"/>
  <c r="R7" i="66"/>
  <c r="J7" i="66"/>
  <c r="H7" i="66"/>
  <c r="E2" i="66"/>
  <c r="S45" i="65"/>
  <c r="S44" i="65"/>
  <c r="S43" i="65"/>
  <c r="S42" i="65"/>
  <c r="S41" i="65"/>
  <c r="S40" i="65"/>
  <c r="S39" i="65"/>
  <c r="S38" i="65"/>
  <c r="S37" i="65"/>
  <c r="S36" i="65"/>
  <c r="S35" i="65"/>
  <c r="S34" i="65"/>
  <c r="S33" i="65"/>
  <c r="S32" i="65"/>
  <c r="S31" i="65"/>
  <c r="S30" i="65"/>
  <c r="S29" i="65"/>
  <c r="S28" i="65"/>
  <c r="S27" i="65"/>
  <c r="S26" i="65"/>
  <c r="S25" i="65"/>
  <c r="S24" i="65"/>
  <c r="S23" i="65"/>
  <c r="S22" i="65"/>
  <c r="S21" i="65"/>
  <c r="S20" i="65"/>
  <c r="S19" i="65"/>
  <c r="S18" i="65"/>
  <c r="S17" i="65"/>
  <c r="S16" i="65"/>
  <c r="S15" i="65"/>
  <c r="S14" i="65"/>
  <c r="S13" i="65"/>
  <c r="S12" i="65"/>
  <c r="S6" i="65" s="1"/>
  <c r="S11" i="65"/>
  <c r="R6" i="65"/>
  <c r="Q6" i="65"/>
  <c r="P6" i="65"/>
  <c r="P7" i="65" s="1"/>
  <c r="N6" i="65"/>
  <c r="L6" i="65"/>
  <c r="K6" i="65"/>
  <c r="J6" i="65"/>
  <c r="I6" i="65"/>
  <c r="H6" i="65"/>
  <c r="G6" i="65"/>
  <c r="F6" i="65"/>
  <c r="F7" i="65" s="1"/>
  <c r="E6" i="65"/>
  <c r="N7" i="65"/>
  <c r="L7" i="65"/>
  <c r="J7" i="65"/>
  <c r="E2" i="65"/>
  <c r="S45" i="64"/>
  <c r="S44" i="64"/>
  <c r="S43" i="64"/>
  <c r="S42" i="64"/>
  <c r="S41" i="64"/>
  <c r="S40" i="64"/>
  <c r="S39" i="64"/>
  <c r="S38" i="64"/>
  <c r="S37" i="64"/>
  <c r="S36" i="64"/>
  <c r="S35" i="64"/>
  <c r="S34" i="64"/>
  <c r="S33" i="64"/>
  <c r="S32" i="64"/>
  <c r="S31" i="64"/>
  <c r="S30" i="64"/>
  <c r="S29" i="64"/>
  <c r="S28" i="64"/>
  <c r="S27" i="64"/>
  <c r="S26" i="64"/>
  <c r="S25" i="64"/>
  <c r="S24" i="64"/>
  <c r="S23" i="64"/>
  <c r="S22" i="64"/>
  <c r="S21" i="64"/>
  <c r="S20" i="64"/>
  <c r="S19" i="64"/>
  <c r="S18" i="64"/>
  <c r="S17" i="64"/>
  <c r="S16" i="64"/>
  <c r="S15" i="64"/>
  <c r="S14" i="64"/>
  <c r="S13" i="64"/>
  <c r="S12" i="64"/>
  <c r="S11" i="64"/>
  <c r="S6" i="64" s="1"/>
  <c r="R6" i="64"/>
  <c r="Q6" i="64"/>
  <c r="P6" i="64"/>
  <c r="P7" i="64" s="1"/>
  <c r="N6" i="64"/>
  <c r="L6" i="64"/>
  <c r="K6" i="64"/>
  <c r="K7" i="64" s="1"/>
  <c r="J6" i="64"/>
  <c r="J7" i="64" s="1"/>
  <c r="I6" i="64"/>
  <c r="H6" i="64"/>
  <c r="G6" i="64"/>
  <c r="F6" i="64"/>
  <c r="E6" i="64"/>
  <c r="L7" i="64"/>
  <c r="F7" i="64"/>
  <c r="E2" i="64"/>
  <c r="S45" i="63"/>
  <c r="S44" i="63"/>
  <c r="S43" i="63"/>
  <c r="S42" i="63"/>
  <c r="S41" i="63"/>
  <c r="S40" i="63"/>
  <c r="S39" i="63"/>
  <c r="S38" i="63"/>
  <c r="S37" i="63"/>
  <c r="S36" i="63"/>
  <c r="S35" i="63"/>
  <c r="S34" i="63"/>
  <c r="S33" i="63"/>
  <c r="S32" i="63"/>
  <c r="S31" i="63"/>
  <c r="S30" i="63"/>
  <c r="S29" i="63"/>
  <c r="S28" i="63"/>
  <c r="S27" i="63"/>
  <c r="S26" i="63"/>
  <c r="S25" i="63"/>
  <c r="S24" i="63"/>
  <c r="S23" i="63"/>
  <c r="S22" i="63"/>
  <c r="S21" i="63"/>
  <c r="S20" i="63"/>
  <c r="S19" i="63"/>
  <c r="S18" i="63"/>
  <c r="S17" i="63"/>
  <c r="S16" i="63"/>
  <c r="S15" i="63"/>
  <c r="S14" i="63"/>
  <c r="S13" i="63"/>
  <c r="S12" i="63"/>
  <c r="S11" i="63"/>
  <c r="R6" i="63"/>
  <c r="Q6" i="63"/>
  <c r="P6" i="63"/>
  <c r="N6" i="63"/>
  <c r="L6" i="63"/>
  <c r="L7" i="63" s="1"/>
  <c r="K6" i="63"/>
  <c r="J6" i="63"/>
  <c r="I6" i="63"/>
  <c r="H6" i="63"/>
  <c r="H7" i="63" s="1"/>
  <c r="G6" i="63"/>
  <c r="F6" i="63"/>
  <c r="E6" i="63"/>
  <c r="E7" i="63" s="1"/>
  <c r="R7" i="63"/>
  <c r="E2" i="63"/>
  <c r="E5" i="62"/>
  <c r="F5" i="62"/>
  <c r="G5" i="62"/>
  <c r="H5" i="62"/>
  <c r="I5" i="62"/>
  <c r="J5" i="62"/>
  <c r="K5" i="62"/>
  <c r="L5" i="62"/>
  <c r="N5" i="62"/>
  <c r="P5" i="62"/>
  <c r="Q5" i="62"/>
  <c r="R5" i="62"/>
  <c r="C9" i="62"/>
  <c r="C8" i="62"/>
  <c r="E5" i="61"/>
  <c r="F5" i="61"/>
  <c r="G5" i="61"/>
  <c r="H5" i="61"/>
  <c r="I5" i="61"/>
  <c r="J5" i="61"/>
  <c r="K5" i="61"/>
  <c r="L5" i="61"/>
  <c r="N5" i="61"/>
  <c r="P5" i="61"/>
  <c r="Q5" i="61"/>
  <c r="R5" i="61"/>
  <c r="C9" i="61"/>
  <c r="C8" i="61"/>
  <c r="E5" i="60"/>
  <c r="F5" i="60"/>
  <c r="G5" i="60"/>
  <c r="H5" i="60"/>
  <c r="I5" i="60"/>
  <c r="J5" i="60"/>
  <c r="K5" i="60"/>
  <c r="L5" i="60"/>
  <c r="N5" i="60"/>
  <c r="P5" i="60"/>
  <c r="Q5" i="60"/>
  <c r="R5" i="60"/>
  <c r="C9" i="60"/>
  <c r="C8" i="60"/>
  <c r="E5" i="59"/>
  <c r="F5" i="59"/>
  <c r="G5" i="59"/>
  <c r="H5" i="59"/>
  <c r="I5" i="59"/>
  <c r="J5" i="59"/>
  <c r="K5" i="59"/>
  <c r="L5" i="59"/>
  <c r="N5" i="59"/>
  <c r="P5" i="59"/>
  <c r="Q5" i="59"/>
  <c r="R5" i="59"/>
  <c r="C9" i="59"/>
  <c r="C8" i="59"/>
  <c r="E5" i="58"/>
  <c r="F5" i="58"/>
  <c r="G5" i="58"/>
  <c r="H5" i="58"/>
  <c r="I5" i="58"/>
  <c r="J5" i="58"/>
  <c r="K5" i="58"/>
  <c r="L5" i="58"/>
  <c r="N5" i="58"/>
  <c r="P5" i="58"/>
  <c r="Q5" i="58"/>
  <c r="R5" i="58"/>
  <c r="C9" i="58"/>
  <c r="C8" i="58"/>
  <c r="E5" i="57"/>
  <c r="F5" i="57"/>
  <c r="G5" i="57"/>
  <c r="H5" i="57"/>
  <c r="I5" i="57"/>
  <c r="J5" i="57"/>
  <c r="K5" i="57"/>
  <c r="L5" i="57"/>
  <c r="N5" i="57"/>
  <c r="P5" i="57"/>
  <c r="Q5" i="57"/>
  <c r="R5" i="57"/>
  <c r="C9" i="57"/>
  <c r="C8" i="57"/>
  <c r="E5" i="56"/>
  <c r="F5" i="56"/>
  <c r="G5" i="56"/>
  <c r="H5" i="56"/>
  <c r="I5" i="56"/>
  <c r="J5" i="56"/>
  <c r="K5" i="56"/>
  <c r="L5" i="56"/>
  <c r="N5" i="56"/>
  <c r="Q5" i="56"/>
  <c r="R5" i="56"/>
  <c r="C9" i="56"/>
  <c r="C8" i="56"/>
  <c r="E5" i="55"/>
  <c r="F5" i="55"/>
  <c r="G5" i="55"/>
  <c r="H5" i="55"/>
  <c r="I5" i="55"/>
  <c r="J5" i="55"/>
  <c r="K5" i="55"/>
  <c r="L5" i="55"/>
  <c r="N5" i="55"/>
  <c r="Q5" i="55"/>
  <c r="R5" i="55"/>
  <c r="C9" i="55"/>
  <c r="C8" i="55"/>
  <c r="S6" i="70" l="1"/>
  <c r="S6" i="71"/>
  <c r="E7" i="71"/>
  <c r="S6" i="77"/>
  <c r="E7" i="77"/>
  <c r="S6" i="87"/>
  <c r="E7" i="78"/>
  <c r="G7" i="88"/>
  <c r="K7" i="88"/>
  <c r="Q7" i="88"/>
  <c r="G7" i="90"/>
  <c r="K7" i="90"/>
  <c r="Q7" i="90"/>
  <c r="S6" i="95"/>
  <c r="S6" i="97"/>
  <c r="E7" i="102"/>
  <c r="S6" i="68"/>
  <c r="S6" i="76"/>
  <c r="S6" i="80"/>
  <c r="G7" i="93"/>
  <c r="K7" i="93"/>
  <c r="S6" i="107"/>
  <c r="F7" i="63"/>
  <c r="S6" i="66"/>
  <c r="S76" i="4" s="1"/>
  <c r="E7" i="69"/>
  <c r="I7" i="69"/>
  <c r="N7" i="69"/>
  <c r="S6" i="69"/>
  <c r="S79" i="4" s="1"/>
  <c r="H7" i="72"/>
  <c r="E7" i="68"/>
  <c r="F7" i="80"/>
  <c r="S6" i="85"/>
  <c r="S97" i="4" s="1"/>
  <c r="E7" i="89"/>
  <c r="I7" i="89"/>
  <c r="N7" i="89"/>
  <c r="S6" i="89"/>
  <c r="S102" i="4" s="1"/>
  <c r="S6" i="90"/>
  <c r="E7" i="94"/>
  <c r="G7" i="97"/>
  <c r="K7" i="97"/>
  <c r="Q7" i="97"/>
  <c r="G7" i="99"/>
  <c r="K7" i="99"/>
  <c r="Q7" i="99"/>
  <c r="E7" i="100"/>
  <c r="I7" i="100"/>
  <c r="N7" i="100"/>
  <c r="S6" i="100"/>
  <c r="S6" i="102"/>
  <c r="E7" i="73"/>
  <c r="S6" i="75"/>
  <c r="N7" i="64"/>
  <c r="I7" i="64"/>
  <c r="N7" i="66"/>
  <c r="N7" i="68"/>
  <c r="I7" i="68"/>
  <c r="K7" i="69"/>
  <c r="N7" i="72"/>
  <c r="N7" i="73"/>
  <c r="I7" i="73"/>
  <c r="Q7" i="74"/>
  <c r="K7" i="74"/>
  <c r="G7" i="74"/>
  <c r="N7" i="77"/>
  <c r="N7" i="78"/>
  <c r="I7" i="78"/>
  <c r="Q7" i="79"/>
  <c r="K7" i="79"/>
  <c r="G7" i="79"/>
  <c r="Q7" i="81"/>
  <c r="N7" i="82"/>
  <c r="I7" i="82"/>
  <c r="Q7" i="83"/>
  <c r="K7" i="83"/>
  <c r="N7" i="84"/>
  <c r="I7" i="84"/>
  <c r="Q7" i="85"/>
  <c r="G7" i="85"/>
  <c r="Q7" i="87"/>
  <c r="Q7" i="89"/>
  <c r="G7" i="89"/>
  <c r="N7" i="90"/>
  <c r="I7" i="90"/>
  <c r="Q7" i="91"/>
  <c r="K7" i="91"/>
  <c r="N7" i="63"/>
  <c r="I7" i="63"/>
  <c r="Q7" i="64"/>
  <c r="G7" i="64"/>
  <c r="Q7" i="68"/>
  <c r="K7" i="68"/>
  <c r="G7" i="68"/>
  <c r="Q7" i="70"/>
  <c r="K7" i="70"/>
  <c r="N7" i="71"/>
  <c r="I7" i="71"/>
  <c r="Q7" i="72"/>
  <c r="Q7" i="73"/>
  <c r="G7" i="73"/>
  <c r="I7" i="74"/>
  <c r="I7" i="76"/>
  <c r="Q7" i="78"/>
  <c r="G7" i="78"/>
  <c r="N7" i="79"/>
  <c r="I7" i="79"/>
  <c r="Q7" i="80"/>
  <c r="K7" i="80"/>
  <c r="G7" i="80"/>
  <c r="I7" i="81"/>
  <c r="G7" i="82"/>
  <c r="I7" i="83"/>
  <c r="Q7" i="84"/>
  <c r="K7" i="84"/>
  <c r="G7" i="75"/>
  <c r="K7" i="75"/>
  <c r="Q7" i="75"/>
  <c r="K7" i="82"/>
  <c r="Q7" i="82"/>
  <c r="E7" i="83"/>
  <c r="N7" i="83"/>
  <c r="E7" i="65"/>
  <c r="I7" i="65"/>
  <c r="G7" i="72"/>
  <c r="K7" i="72"/>
  <c r="E7" i="79"/>
  <c r="E7" i="67"/>
  <c r="I7" i="67"/>
  <c r="E7" i="74"/>
  <c r="E7" i="76"/>
  <c r="E7" i="81"/>
  <c r="E7" i="84"/>
  <c r="K7" i="85"/>
  <c r="E7" i="64"/>
  <c r="G7" i="67"/>
  <c r="K7" i="67"/>
  <c r="Q7" i="67"/>
  <c r="E7" i="75"/>
  <c r="K7" i="81"/>
  <c r="E7" i="70"/>
  <c r="I7" i="70"/>
  <c r="N7" i="70"/>
  <c r="G7" i="87"/>
  <c r="K7" i="87"/>
  <c r="E7" i="88"/>
  <c r="I7" i="88"/>
  <c r="N7" i="88"/>
  <c r="S6" i="78"/>
  <c r="S90" i="4" s="1"/>
  <c r="S6" i="92"/>
  <c r="S105" i="4" s="1"/>
  <c r="S6" i="83"/>
  <c r="S6" i="98"/>
  <c r="S111" i="4" s="1"/>
  <c r="S6" i="81"/>
  <c r="S93" i="4" s="1"/>
  <c r="E7" i="107"/>
  <c r="E7" i="80"/>
  <c r="E7" i="85"/>
  <c r="S94" i="4"/>
  <c r="S6" i="99"/>
  <c r="S112" i="4" s="1"/>
  <c r="S6" i="73"/>
  <c r="S84" i="4" s="1"/>
  <c r="S6" i="88"/>
  <c r="E7" i="72"/>
  <c r="K7" i="86"/>
  <c r="Q7" i="86"/>
  <c r="R7" i="69"/>
  <c r="L7" i="69"/>
  <c r="H7" i="69"/>
  <c r="I7" i="72"/>
  <c r="N7" i="75"/>
  <c r="I7" i="75"/>
  <c r="G7" i="86"/>
  <c r="S99" i="4"/>
  <c r="P7" i="89"/>
  <c r="J7" i="89"/>
  <c r="F7" i="89"/>
  <c r="P7" i="90"/>
  <c r="J7" i="90"/>
  <c r="P7" i="104"/>
  <c r="J7" i="104"/>
  <c r="F7" i="104"/>
  <c r="S74" i="4"/>
  <c r="R7" i="65"/>
  <c r="H7" i="65"/>
  <c r="S75" i="4"/>
  <c r="R7" i="67"/>
  <c r="H7" i="67"/>
  <c r="S77" i="4"/>
  <c r="S78" i="4"/>
  <c r="S80" i="4"/>
  <c r="S81" i="4"/>
  <c r="S82" i="4"/>
  <c r="R7" i="74"/>
  <c r="L7" i="74"/>
  <c r="H7" i="74"/>
  <c r="S85" i="4"/>
  <c r="R7" i="75"/>
  <c r="H7" i="75"/>
  <c r="S86" i="4"/>
  <c r="R7" i="76"/>
  <c r="L7" i="76"/>
  <c r="H7" i="76"/>
  <c r="S87" i="4"/>
  <c r="R7" i="77"/>
  <c r="H7" i="77"/>
  <c r="S88" i="4"/>
  <c r="S91" i="4"/>
  <c r="S92" i="4"/>
  <c r="R7" i="83"/>
  <c r="L7" i="83"/>
  <c r="H7" i="83"/>
  <c r="S95" i="4"/>
  <c r="S96" i="4"/>
  <c r="N7" i="91"/>
  <c r="I7" i="91"/>
  <c r="N7" i="106"/>
  <c r="I7" i="106"/>
  <c r="Q7" i="63"/>
  <c r="K7" i="63"/>
  <c r="G7" i="63"/>
  <c r="Q7" i="66"/>
  <c r="K7" i="66"/>
  <c r="G7" i="66"/>
  <c r="Q7" i="76"/>
  <c r="K7" i="76"/>
  <c r="G7" i="76"/>
  <c r="I7" i="86"/>
  <c r="N7" i="86"/>
  <c r="P7" i="87"/>
  <c r="S101" i="4"/>
  <c r="S103" i="4"/>
  <c r="S106" i="4"/>
  <c r="S107" i="4"/>
  <c r="R7" i="95"/>
  <c r="L7" i="95"/>
  <c r="H7" i="95"/>
  <c r="S108" i="4"/>
  <c r="S109" i="4"/>
  <c r="R7" i="97"/>
  <c r="L7" i="97"/>
  <c r="H7" i="97"/>
  <c r="S110" i="4"/>
  <c r="S113" i="4"/>
  <c r="S114" i="4"/>
  <c r="S115" i="4"/>
  <c r="S116" i="4"/>
  <c r="S117" i="4"/>
  <c r="S118" i="4"/>
  <c r="S120" i="4"/>
  <c r="J7" i="67"/>
  <c r="P7" i="70"/>
  <c r="J7" i="70"/>
  <c r="F7" i="70"/>
  <c r="P7" i="81"/>
  <c r="J7" i="81"/>
  <c r="F7" i="81"/>
  <c r="P7" i="83"/>
  <c r="J7" i="83"/>
  <c r="F7" i="83"/>
  <c r="P7" i="85"/>
  <c r="J7" i="85"/>
  <c r="F7" i="85"/>
  <c r="Q7" i="92"/>
  <c r="K7" i="92"/>
  <c r="G7" i="92"/>
  <c r="Q7" i="98"/>
  <c r="K7" i="98"/>
  <c r="G7" i="98"/>
  <c r="Q7" i="101"/>
  <c r="Q7" i="107"/>
  <c r="K7" i="107"/>
  <c r="G7" i="107"/>
  <c r="E7" i="106"/>
  <c r="G7" i="101"/>
  <c r="K7" i="101"/>
  <c r="G7" i="100"/>
  <c r="K7" i="100"/>
  <c r="Q7" i="100"/>
  <c r="E7" i="91"/>
  <c r="G7" i="65"/>
  <c r="K7" i="65"/>
  <c r="Q7" i="65"/>
  <c r="S6" i="63"/>
  <c r="S45" i="62"/>
  <c r="S44" i="62"/>
  <c r="S43" i="62"/>
  <c r="S42" i="62"/>
  <c r="S41" i="62"/>
  <c r="S40" i="62"/>
  <c r="S39" i="62"/>
  <c r="S38" i="62"/>
  <c r="S37" i="62"/>
  <c r="S36" i="62"/>
  <c r="S35" i="62"/>
  <c r="S34" i="62"/>
  <c r="S33" i="62"/>
  <c r="S32" i="62"/>
  <c r="S31" i="62"/>
  <c r="S30" i="62"/>
  <c r="S29" i="62"/>
  <c r="S28" i="62"/>
  <c r="S27" i="62"/>
  <c r="S26" i="62"/>
  <c r="S25" i="62"/>
  <c r="S24" i="62"/>
  <c r="S23" i="62"/>
  <c r="S22" i="62"/>
  <c r="S21" i="62"/>
  <c r="S20" i="62"/>
  <c r="S19" i="62"/>
  <c r="S18" i="62"/>
  <c r="S17" i="62"/>
  <c r="S16" i="62"/>
  <c r="S15" i="62"/>
  <c r="S14" i="62"/>
  <c r="S13" i="62"/>
  <c r="S12" i="62"/>
  <c r="S11" i="62"/>
  <c r="R6" i="62"/>
  <c r="Q6" i="62"/>
  <c r="P6" i="62"/>
  <c r="N6" i="62"/>
  <c r="L6" i="62"/>
  <c r="L7" i="62" s="1"/>
  <c r="K6" i="62"/>
  <c r="J6" i="62"/>
  <c r="I6" i="62"/>
  <c r="H6" i="62"/>
  <c r="G6" i="62"/>
  <c r="F6" i="62"/>
  <c r="E6" i="62"/>
  <c r="R7" i="62"/>
  <c r="Q7" i="62"/>
  <c r="P7" i="62"/>
  <c r="N7" i="62"/>
  <c r="K7" i="62"/>
  <c r="J7" i="62"/>
  <c r="I7" i="62"/>
  <c r="H7" i="62"/>
  <c r="G7" i="62"/>
  <c r="F7" i="62"/>
  <c r="E7" i="62"/>
  <c r="E2" i="62"/>
  <c r="S45" i="61"/>
  <c r="S44" i="61"/>
  <c r="S43" i="61"/>
  <c r="S42" i="61"/>
  <c r="S41" i="61"/>
  <c r="S40" i="61"/>
  <c r="S39" i="61"/>
  <c r="S38" i="61"/>
  <c r="S37" i="61"/>
  <c r="S36" i="61"/>
  <c r="S35" i="61"/>
  <c r="S34" i="61"/>
  <c r="S33" i="61"/>
  <c r="S32" i="61"/>
  <c r="S31" i="61"/>
  <c r="S30" i="61"/>
  <c r="S29" i="61"/>
  <c r="S28" i="61"/>
  <c r="S27" i="61"/>
  <c r="S26" i="61"/>
  <c r="S25" i="61"/>
  <c r="S24" i="61"/>
  <c r="S23" i="61"/>
  <c r="S22" i="61"/>
  <c r="S21" i="61"/>
  <c r="S20" i="61"/>
  <c r="S19" i="61"/>
  <c r="S18" i="61"/>
  <c r="S17" i="61"/>
  <c r="S16" i="61"/>
  <c r="S15" i="61"/>
  <c r="S14" i="61"/>
  <c r="S13" i="61"/>
  <c r="S12" i="61"/>
  <c r="S11" i="61"/>
  <c r="R6" i="61"/>
  <c r="R7" i="61" s="1"/>
  <c r="Q6" i="61"/>
  <c r="Q7" i="61" s="1"/>
  <c r="P6" i="61"/>
  <c r="N6" i="61"/>
  <c r="N7" i="61" s="1"/>
  <c r="L6" i="61"/>
  <c r="L7" i="61" s="1"/>
  <c r="K6" i="61"/>
  <c r="K7" i="61" s="1"/>
  <c r="J6" i="61"/>
  <c r="I6" i="61"/>
  <c r="H6" i="61"/>
  <c r="H7" i="61" s="1"/>
  <c r="G6" i="61"/>
  <c r="G7" i="61" s="1"/>
  <c r="F6" i="61"/>
  <c r="E6" i="61"/>
  <c r="E7" i="61" s="1"/>
  <c r="P7" i="61"/>
  <c r="J7" i="61"/>
  <c r="I7" i="61"/>
  <c r="F7" i="61"/>
  <c r="E2" i="61"/>
  <c r="S45" i="60"/>
  <c r="S44" i="60"/>
  <c r="S43" i="60"/>
  <c r="S42" i="60"/>
  <c r="S41" i="60"/>
  <c r="S40" i="60"/>
  <c r="S39" i="60"/>
  <c r="S38" i="60"/>
  <c r="S37" i="60"/>
  <c r="S36" i="60"/>
  <c r="S35" i="60"/>
  <c r="S34" i="60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6" i="60" s="1"/>
  <c r="R6" i="60"/>
  <c r="Q6" i="60"/>
  <c r="P6" i="60"/>
  <c r="N6" i="60"/>
  <c r="L6" i="60"/>
  <c r="K6" i="60"/>
  <c r="J6" i="60"/>
  <c r="I6" i="60"/>
  <c r="H6" i="60"/>
  <c r="G6" i="60"/>
  <c r="F6" i="60"/>
  <c r="E6" i="60"/>
  <c r="R7" i="60"/>
  <c r="Q7" i="60"/>
  <c r="P7" i="60"/>
  <c r="N7" i="60"/>
  <c r="L7" i="60"/>
  <c r="K7" i="60"/>
  <c r="J7" i="60"/>
  <c r="I7" i="60"/>
  <c r="H7" i="60"/>
  <c r="G7" i="60"/>
  <c r="F7" i="60"/>
  <c r="E7" i="60"/>
  <c r="E2" i="60"/>
  <c r="S45" i="59"/>
  <c r="S44" i="59"/>
  <c r="S43" i="59"/>
  <c r="S42" i="59"/>
  <c r="S41" i="59"/>
  <c r="S40" i="59"/>
  <c r="S39" i="59"/>
  <c r="S38" i="59"/>
  <c r="S37" i="59"/>
  <c r="S36" i="59"/>
  <c r="S35" i="59"/>
  <c r="S34" i="59"/>
  <c r="S33" i="59"/>
  <c r="S32" i="59"/>
  <c r="S31" i="59"/>
  <c r="S30" i="59"/>
  <c r="S29" i="59"/>
  <c r="S28" i="59"/>
  <c r="S27" i="59"/>
  <c r="S26" i="59"/>
  <c r="S25" i="59"/>
  <c r="S24" i="59"/>
  <c r="S23" i="59"/>
  <c r="S22" i="59"/>
  <c r="S21" i="59"/>
  <c r="S20" i="59"/>
  <c r="S19" i="59"/>
  <c r="S18" i="59"/>
  <c r="S17" i="59"/>
  <c r="S16" i="59"/>
  <c r="S15" i="59"/>
  <c r="S14" i="59"/>
  <c r="S13" i="59"/>
  <c r="S12" i="59"/>
  <c r="S11" i="59"/>
  <c r="R6" i="59"/>
  <c r="Q6" i="59"/>
  <c r="P6" i="59"/>
  <c r="N6" i="59"/>
  <c r="L6" i="59"/>
  <c r="K6" i="59"/>
  <c r="J6" i="59"/>
  <c r="I6" i="59"/>
  <c r="H6" i="59"/>
  <c r="G6" i="59"/>
  <c r="F6" i="59"/>
  <c r="E6" i="59"/>
  <c r="E7" i="59" s="1"/>
  <c r="R7" i="59"/>
  <c r="Q7" i="59"/>
  <c r="P7" i="59"/>
  <c r="N7" i="59"/>
  <c r="L7" i="59"/>
  <c r="K7" i="59"/>
  <c r="J7" i="59"/>
  <c r="I7" i="59"/>
  <c r="H7" i="59"/>
  <c r="G7" i="59"/>
  <c r="F7" i="59"/>
  <c r="E2" i="59"/>
  <c r="S45" i="58"/>
  <c r="S44" i="58"/>
  <c r="S43" i="58"/>
  <c r="S42" i="58"/>
  <c r="S41" i="58"/>
  <c r="S40" i="58"/>
  <c r="S39" i="58"/>
  <c r="S38" i="58"/>
  <c r="S37" i="58"/>
  <c r="S36" i="58"/>
  <c r="S35" i="58"/>
  <c r="S34" i="58"/>
  <c r="S33" i="58"/>
  <c r="S32" i="58"/>
  <c r="S31" i="58"/>
  <c r="S30" i="58"/>
  <c r="S29" i="58"/>
  <c r="S28" i="58"/>
  <c r="S27" i="58"/>
  <c r="S26" i="58"/>
  <c r="S25" i="58"/>
  <c r="S24" i="58"/>
  <c r="S23" i="58"/>
  <c r="S22" i="58"/>
  <c r="S21" i="58"/>
  <c r="S20" i="58"/>
  <c r="S19" i="58"/>
  <c r="S18" i="58"/>
  <c r="S17" i="58"/>
  <c r="S16" i="58"/>
  <c r="S15" i="58"/>
  <c r="S14" i="58"/>
  <c r="S13" i="58"/>
  <c r="S12" i="58"/>
  <c r="S11" i="58"/>
  <c r="R6" i="58"/>
  <c r="Q6" i="58"/>
  <c r="P6" i="58"/>
  <c r="N6" i="58"/>
  <c r="L6" i="58"/>
  <c r="K6" i="58"/>
  <c r="J6" i="58"/>
  <c r="I6" i="58"/>
  <c r="H6" i="58"/>
  <c r="G6" i="58"/>
  <c r="F6" i="58"/>
  <c r="E6" i="58"/>
  <c r="R7" i="58"/>
  <c r="Q7" i="58"/>
  <c r="P7" i="58"/>
  <c r="N7" i="58"/>
  <c r="L7" i="58"/>
  <c r="K7" i="58"/>
  <c r="J7" i="58"/>
  <c r="I7" i="58"/>
  <c r="H7" i="58"/>
  <c r="G7" i="58"/>
  <c r="F7" i="58"/>
  <c r="E7" i="58"/>
  <c r="E2" i="58"/>
  <c r="S45" i="57"/>
  <c r="S44" i="57"/>
  <c r="S43" i="57"/>
  <c r="S42" i="57"/>
  <c r="S41" i="57"/>
  <c r="S40" i="57"/>
  <c r="S39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R6" i="57"/>
  <c r="R7" i="57" s="1"/>
  <c r="Q6" i="57"/>
  <c r="Q7" i="57" s="1"/>
  <c r="P6" i="57"/>
  <c r="N6" i="57"/>
  <c r="N7" i="57" s="1"/>
  <c r="L6" i="57"/>
  <c r="L7" i="57" s="1"/>
  <c r="K6" i="57"/>
  <c r="K7" i="57" s="1"/>
  <c r="J6" i="57"/>
  <c r="J7" i="57" s="1"/>
  <c r="I6" i="57"/>
  <c r="H6" i="57"/>
  <c r="H7" i="57" s="1"/>
  <c r="G6" i="57"/>
  <c r="G7" i="57" s="1"/>
  <c r="F6" i="57"/>
  <c r="F7" i="57" s="1"/>
  <c r="E6" i="57"/>
  <c r="P7" i="57"/>
  <c r="I7" i="57"/>
  <c r="E7" i="57"/>
  <c r="E2" i="57"/>
  <c r="S45" i="56"/>
  <c r="S44" i="56"/>
  <c r="S43" i="56"/>
  <c r="S42" i="56"/>
  <c r="S41" i="56"/>
  <c r="S40" i="56"/>
  <c r="S39" i="56"/>
  <c r="S38" i="56"/>
  <c r="S37" i="56"/>
  <c r="S36" i="56"/>
  <c r="S35" i="56"/>
  <c r="S34" i="56"/>
  <c r="S33" i="56"/>
  <c r="S32" i="56"/>
  <c r="S31" i="56"/>
  <c r="S30" i="56"/>
  <c r="S29" i="56"/>
  <c r="S28" i="56"/>
  <c r="S27" i="56"/>
  <c r="S26" i="56"/>
  <c r="S25" i="56"/>
  <c r="S24" i="56"/>
  <c r="S23" i="56"/>
  <c r="S22" i="56"/>
  <c r="S21" i="56"/>
  <c r="S20" i="56"/>
  <c r="S19" i="56"/>
  <c r="S18" i="56"/>
  <c r="S17" i="56"/>
  <c r="S16" i="56"/>
  <c r="S15" i="56"/>
  <c r="S14" i="56"/>
  <c r="S13" i="56"/>
  <c r="S12" i="56"/>
  <c r="S11" i="56"/>
  <c r="R6" i="56"/>
  <c r="Q6" i="56"/>
  <c r="P6" i="56"/>
  <c r="N6" i="56"/>
  <c r="L6" i="56"/>
  <c r="K6" i="56"/>
  <c r="J6" i="56"/>
  <c r="I6" i="56"/>
  <c r="H6" i="56"/>
  <c r="G6" i="56"/>
  <c r="F6" i="56"/>
  <c r="E6" i="56"/>
  <c r="R7" i="56"/>
  <c r="Q7" i="56"/>
  <c r="P7" i="56"/>
  <c r="N7" i="56"/>
  <c r="L7" i="56"/>
  <c r="K7" i="56"/>
  <c r="J7" i="56"/>
  <c r="I7" i="56"/>
  <c r="H7" i="56"/>
  <c r="G7" i="56"/>
  <c r="F7" i="56"/>
  <c r="E7" i="56"/>
  <c r="E2" i="56"/>
  <c r="S45" i="55"/>
  <c r="S44" i="55"/>
  <c r="S43" i="55"/>
  <c r="S42" i="55"/>
  <c r="S41" i="55"/>
  <c r="S40" i="55"/>
  <c r="S39" i="55"/>
  <c r="S38" i="55"/>
  <c r="S37" i="55"/>
  <c r="S36" i="55"/>
  <c r="S35" i="55"/>
  <c r="S34" i="55"/>
  <c r="S33" i="55"/>
  <c r="S32" i="55"/>
  <c r="S31" i="55"/>
  <c r="S30" i="55"/>
  <c r="S29" i="55"/>
  <c r="S28" i="55"/>
  <c r="S27" i="55"/>
  <c r="S26" i="55"/>
  <c r="S25" i="55"/>
  <c r="S24" i="55"/>
  <c r="S23" i="55"/>
  <c r="S22" i="55"/>
  <c r="S21" i="55"/>
  <c r="S20" i="55"/>
  <c r="S19" i="55"/>
  <c r="S18" i="55"/>
  <c r="S17" i="55"/>
  <c r="S16" i="55"/>
  <c r="S15" i="55"/>
  <c r="S14" i="55"/>
  <c r="S13" i="55"/>
  <c r="S12" i="55"/>
  <c r="S11" i="55"/>
  <c r="R6" i="55"/>
  <c r="Q6" i="55"/>
  <c r="P6" i="55"/>
  <c r="N6" i="55"/>
  <c r="L6" i="55"/>
  <c r="K6" i="55"/>
  <c r="J6" i="55"/>
  <c r="I6" i="55"/>
  <c r="H6" i="55"/>
  <c r="G6" i="55"/>
  <c r="F6" i="55"/>
  <c r="E6" i="55"/>
  <c r="E7" i="55" s="1"/>
  <c r="R7" i="55"/>
  <c r="Q7" i="55"/>
  <c r="P7" i="55"/>
  <c r="N7" i="55"/>
  <c r="L7" i="55"/>
  <c r="K7" i="55"/>
  <c r="J7" i="55"/>
  <c r="I7" i="55"/>
  <c r="H7" i="55"/>
  <c r="G7" i="55"/>
  <c r="F7" i="55"/>
  <c r="E2" i="55"/>
  <c r="E5" i="54"/>
  <c r="F5" i="54"/>
  <c r="G5" i="54"/>
  <c r="H5" i="54"/>
  <c r="I5" i="54"/>
  <c r="I7" i="54" s="1"/>
  <c r="J5" i="54"/>
  <c r="K5" i="54"/>
  <c r="L5" i="54"/>
  <c r="N5" i="54"/>
  <c r="P5" i="54"/>
  <c r="Q5" i="54"/>
  <c r="Q7" i="54" s="1"/>
  <c r="R5" i="54"/>
  <c r="C9" i="54"/>
  <c r="C8" i="54"/>
  <c r="E5" i="53"/>
  <c r="F5" i="53"/>
  <c r="G5" i="53"/>
  <c r="G7" i="53" s="1"/>
  <c r="H5" i="53"/>
  <c r="I5" i="53"/>
  <c r="I7" i="53" s="1"/>
  <c r="J5" i="53"/>
  <c r="K5" i="53"/>
  <c r="K7" i="53" s="1"/>
  <c r="L5" i="53"/>
  <c r="N5" i="53"/>
  <c r="N7" i="53" s="1"/>
  <c r="P5" i="53"/>
  <c r="Q5" i="53"/>
  <c r="Q7" i="53" s="1"/>
  <c r="R5" i="53"/>
  <c r="C9" i="53"/>
  <c r="C8" i="53"/>
  <c r="E5" i="52"/>
  <c r="F5" i="52"/>
  <c r="G5" i="52"/>
  <c r="H5" i="52"/>
  <c r="I5" i="52"/>
  <c r="J5" i="52"/>
  <c r="K5" i="52"/>
  <c r="L5" i="52"/>
  <c r="N5" i="52"/>
  <c r="N7" i="52" s="1"/>
  <c r="P5" i="52"/>
  <c r="Q5" i="52"/>
  <c r="R5" i="52"/>
  <c r="C9" i="52"/>
  <c r="C8" i="52"/>
  <c r="E5" i="51"/>
  <c r="F5" i="51"/>
  <c r="G5" i="51"/>
  <c r="G7" i="51" s="1"/>
  <c r="H5" i="51"/>
  <c r="I5" i="51"/>
  <c r="J5" i="51"/>
  <c r="K5" i="51"/>
  <c r="L5" i="51"/>
  <c r="N5" i="51"/>
  <c r="P5" i="51"/>
  <c r="Q5" i="51"/>
  <c r="Q7" i="51" s="1"/>
  <c r="R5" i="51"/>
  <c r="C9" i="51"/>
  <c r="C8" i="51"/>
  <c r="E5" i="50"/>
  <c r="F5" i="50"/>
  <c r="G5" i="50"/>
  <c r="H5" i="50"/>
  <c r="I5" i="50"/>
  <c r="J5" i="50"/>
  <c r="K5" i="50"/>
  <c r="L5" i="50"/>
  <c r="N5" i="50"/>
  <c r="P5" i="50"/>
  <c r="Q5" i="50"/>
  <c r="R5" i="50"/>
  <c r="C9" i="50"/>
  <c r="C8" i="50"/>
  <c r="E5" i="49"/>
  <c r="F5" i="49"/>
  <c r="G5" i="49"/>
  <c r="H5" i="49"/>
  <c r="I5" i="49"/>
  <c r="J5" i="49"/>
  <c r="K5" i="49"/>
  <c r="K7" i="49" s="1"/>
  <c r="L5" i="49"/>
  <c r="Q5" i="49"/>
  <c r="R5" i="49"/>
  <c r="C9" i="49"/>
  <c r="C8" i="49"/>
  <c r="E5" i="48"/>
  <c r="F5" i="48"/>
  <c r="G5" i="48"/>
  <c r="H5" i="48"/>
  <c r="I5" i="48"/>
  <c r="J5" i="48"/>
  <c r="K5" i="48"/>
  <c r="K7" i="48" s="1"/>
  <c r="L5" i="48"/>
  <c r="N5" i="48"/>
  <c r="P5" i="48"/>
  <c r="Q5" i="48"/>
  <c r="Q7" i="48" s="1"/>
  <c r="R5" i="48"/>
  <c r="C9" i="48"/>
  <c r="C8" i="48"/>
  <c r="E5" i="47"/>
  <c r="F5" i="47"/>
  <c r="G5" i="47"/>
  <c r="H5" i="47"/>
  <c r="I5" i="47"/>
  <c r="J5" i="47"/>
  <c r="K5" i="47"/>
  <c r="L5" i="47"/>
  <c r="N5" i="47"/>
  <c r="P5" i="47"/>
  <c r="Q5" i="47"/>
  <c r="R5" i="47"/>
  <c r="C9" i="47"/>
  <c r="C8" i="47"/>
  <c r="E5" i="46"/>
  <c r="F5" i="46"/>
  <c r="G5" i="46"/>
  <c r="G7" i="46" s="1"/>
  <c r="H5" i="46"/>
  <c r="I5" i="46"/>
  <c r="J5" i="46"/>
  <c r="K5" i="46"/>
  <c r="K7" i="46" s="1"/>
  <c r="L5" i="46"/>
  <c r="N5" i="46"/>
  <c r="P5" i="46"/>
  <c r="Q5" i="46"/>
  <c r="Q7" i="46" s="1"/>
  <c r="R5" i="46"/>
  <c r="C9" i="46"/>
  <c r="C8" i="46"/>
  <c r="E5" i="45"/>
  <c r="F5" i="45"/>
  <c r="G5" i="45"/>
  <c r="G7" i="45" s="1"/>
  <c r="H5" i="45"/>
  <c r="I5" i="45"/>
  <c r="J5" i="45"/>
  <c r="K5" i="45"/>
  <c r="L5" i="45"/>
  <c r="N5" i="45"/>
  <c r="N7" i="45" s="1"/>
  <c r="P5" i="45"/>
  <c r="Q5" i="45"/>
  <c r="R5" i="45"/>
  <c r="C9" i="45"/>
  <c r="E5" i="44"/>
  <c r="F5" i="44"/>
  <c r="G5" i="44"/>
  <c r="H5" i="44"/>
  <c r="I5" i="44"/>
  <c r="J5" i="44"/>
  <c r="K5" i="44"/>
  <c r="L5" i="44"/>
  <c r="N5" i="44"/>
  <c r="P5" i="44"/>
  <c r="Q5" i="44"/>
  <c r="R5" i="44"/>
  <c r="C9" i="44"/>
  <c r="C8" i="44"/>
  <c r="E5" i="43"/>
  <c r="F5" i="43"/>
  <c r="G5" i="43"/>
  <c r="H5" i="43"/>
  <c r="I5" i="43"/>
  <c r="J5" i="43"/>
  <c r="K5" i="43"/>
  <c r="L5" i="43"/>
  <c r="N5" i="43"/>
  <c r="P5" i="43"/>
  <c r="Q5" i="43"/>
  <c r="R5" i="43"/>
  <c r="C9" i="43"/>
  <c r="C8" i="43"/>
  <c r="E5" i="42"/>
  <c r="F5" i="42"/>
  <c r="G5" i="42"/>
  <c r="H5" i="42"/>
  <c r="H7" i="42" s="1"/>
  <c r="I5" i="42"/>
  <c r="J5" i="42"/>
  <c r="K5" i="42"/>
  <c r="L5" i="42"/>
  <c r="L7" i="42" s="1"/>
  <c r="N5" i="42"/>
  <c r="P5" i="42"/>
  <c r="Q5" i="42"/>
  <c r="R5" i="42"/>
  <c r="R7" i="42" s="1"/>
  <c r="C9" i="42"/>
  <c r="C8" i="42"/>
  <c r="E5" i="41"/>
  <c r="F5" i="41"/>
  <c r="G5" i="41"/>
  <c r="H5" i="41"/>
  <c r="I5" i="41"/>
  <c r="J5" i="41"/>
  <c r="J7" i="41" s="1"/>
  <c r="K5" i="41"/>
  <c r="L5" i="41"/>
  <c r="L7" i="41" s="1"/>
  <c r="N5" i="41"/>
  <c r="P5" i="41"/>
  <c r="Q5" i="41"/>
  <c r="R5" i="41"/>
  <c r="C9" i="41"/>
  <c r="C8" i="41"/>
  <c r="E5" i="40"/>
  <c r="F5" i="40"/>
  <c r="F7" i="40" s="1"/>
  <c r="G5" i="40"/>
  <c r="H5" i="40"/>
  <c r="H7" i="40" s="1"/>
  <c r="I5" i="40"/>
  <c r="J5" i="40"/>
  <c r="J7" i="40" s="1"/>
  <c r="K5" i="40"/>
  <c r="L5" i="40"/>
  <c r="L7" i="40" s="1"/>
  <c r="N5" i="40"/>
  <c r="P5" i="40"/>
  <c r="P7" i="40" s="1"/>
  <c r="Q5" i="40"/>
  <c r="R5" i="40"/>
  <c r="R7" i="40" s="1"/>
  <c r="C9" i="40"/>
  <c r="C8" i="40"/>
  <c r="E5" i="39"/>
  <c r="F5" i="39"/>
  <c r="G5" i="39"/>
  <c r="H5" i="39"/>
  <c r="I5" i="39"/>
  <c r="J5" i="39"/>
  <c r="J7" i="39" s="1"/>
  <c r="K5" i="39"/>
  <c r="L5" i="39"/>
  <c r="N5" i="39"/>
  <c r="P5" i="39"/>
  <c r="P7" i="39" s="1"/>
  <c r="Q5" i="39"/>
  <c r="R5" i="39"/>
  <c r="C9" i="39"/>
  <c r="C8" i="39"/>
  <c r="E5" i="38"/>
  <c r="F5" i="38"/>
  <c r="G5" i="38"/>
  <c r="H5" i="38"/>
  <c r="H7" i="38" s="1"/>
  <c r="I5" i="38"/>
  <c r="J5" i="38"/>
  <c r="K5" i="38"/>
  <c r="L5" i="38"/>
  <c r="L7" i="38" s="1"/>
  <c r="N5" i="38"/>
  <c r="P5" i="38"/>
  <c r="Q5" i="38"/>
  <c r="R5" i="38"/>
  <c r="R7" i="38" s="1"/>
  <c r="C9" i="38"/>
  <c r="C8" i="38"/>
  <c r="S45" i="54"/>
  <c r="S44" i="54"/>
  <c r="S43" i="54"/>
  <c r="S42" i="54"/>
  <c r="S41" i="54"/>
  <c r="S40" i="54"/>
  <c r="S39" i="54"/>
  <c r="S38" i="54"/>
  <c r="S37" i="54"/>
  <c r="S36" i="54"/>
  <c r="S35" i="54"/>
  <c r="S34" i="54"/>
  <c r="S33" i="54"/>
  <c r="S32" i="54"/>
  <c r="S31" i="54"/>
  <c r="S30" i="54"/>
  <c r="S29" i="54"/>
  <c r="S28" i="54"/>
  <c r="S27" i="54"/>
  <c r="S26" i="54"/>
  <c r="S25" i="54"/>
  <c r="S24" i="54"/>
  <c r="S23" i="54"/>
  <c r="S22" i="54"/>
  <c r="S21" i="54"/>
  <c r="S20" i="54"/>
  <c r="S19" i="54"/>
  <c r="S18" i="54"/>
  <c r="S17" i="54"/>
  <c r="S16" i="54"/>
  <c r="S15" i="54"/>
  <c r="S14" i="54"/>
  <c r="S13" i="54"/>
  <c r="S12" i="54"/>
  <c r="S11" i="54"/>
  <c r="R6" i="54"/>
  <c r="Q6" i="54"/>
  <c r="P6" i="54"/>
  <c r="N6" i="54"/>
  <c r="L6" i="54"/>
  <c r="L7" i="54" s="1"/>
  <c r="K6" i="54"/>
  <c r="J6" i="54"/>
  <c r="I6" i="54"/>
  <c r="H6" i="54"/>
  <c r="H7" i="54" s="1"/>
  <c r="G6" i="54"/>
  <c r="F6" i="54"/>
  <c r="E6" i="54"/>
  <c r="R7" i="54"/>
  <c r="N7" i="54"/>
  <c r="K7" i="54"/>
  <c r="E2" i="54"/>
  <c r="S45" i="53"/>
  <c r="S44" i="53"/>
  <c r="S43" i="53"/>
  <c r="S42" i="53"/>
  <c r="S41" i="53"/>
  <c r="S40" i="53"/>
  <c r="S39" i="53"/>
  <c r="S38" i="53"/>
  <c r="S37" i="53"/>
  <c r="S36" i="53"/>
  <c r="S35" i="53"/>
  <c r="S34" i="53"/>
  <c r="S33" i="53"/>
  <c r="S32" i="53"/>
  <c r="S31" i="53"/>
  <c r="S30" i="53"/>
  <c r="S29" i="53"/>
  <c r="S28" i="53"/>
  <c r="S27" i="53"/>
  <c r="S26" i="53"/>
  <c r="S25" i="53"/>
  <c r="S24" i="53"/>
  <c r="S23" i="53"/>
  <c r="S22" i="53"/>
  <c r="S21" i="53"/>
  <c r="S20" i="53"/>
  <c r="S19" i="53"/>
  <c r="S18" i="53"/>
  <c r="S17" i="53"/>
  <c r="S16" i="53"/>
  <c r="S15" i="53"/>
  <c r="S14" i="53"/>
  <c r="S13" i="53"/>
  <c r="S12" i="53"/>
  <c r="S11" i="53"/>
  <c r="R6" i="53"/>
  <c r="Q6" i="53"/>
  <c r="P6" i="53"/>
  <c r="N6" i="53"/>
  <c r="L6" i="53"/>
  <c r="L7" i="53" s="1"/>
  <c r="K6" i="53"/>
  <c r="J6" i="53"/>
  <c r="I6" i="53"/>
  <c r="H6" i="53"/>
  <c r="G6" i="53"/>
  <c r="F6" i="53"/>
  <c r="E6" i="53"/>
  <c r="R7" i="53"/>
  <c r="P7" i="53"/>
  <c r="J7" i="53"/>
  <c r="H7" i="53"/>
  <c r="F7" i="53"/>
  <c r="E2" i="53"/>
  <c r="S45" i="52"/>
  <c r="S44" i="52"/>
  <c r="S43" i="52"/>
  <c r="S42" i="52"/>
  <c r="S41" i="52"/>
  <c r="S40" i="52"/>
  <c r="S39" i="52"/>
  <c r="S38" i="52"/>
  <c r="S37" i="52"/>
  <c r="S36" i="52"/>
  <c r="S35" i="52"/>
  <c r="S34" i="52"/>
  <c r="S33" i="52"/>
  <c r="S32" i="52"/>
  <c r="S31" i="52"/>
  <c r="S30" i="52"/>
  <c r="S29" i="52"/>
  <c r="S28" i="52"/>
  <c r="S27" i="52"/>
  <c r="S26" i="52"/>
  <c r="S25" i="52"/>
  <c r="S24" i="52"/>
  <c r="S23" i="52"/>
  <c r="S22" i="52"/>
  <c r="S21" i="52"/>
  <c r="S20" i="52"/>
  <c r="S19" i="52"/>
  <c r="S18" i="52"/>
  <c r="S17" i="52"/>
  <c r="S16" i="52"/>
  <c r="S15" i="52"/>
  <c r="S14" i="52"/>
  <c r="S13" i="52"/>
  <c r="S6" i="52" s="1"/>
  <c r="S12" i="52"/>
  <c r="S11" i="52"/>
  <c r="R6" i="52"/>
  <c r="Q6" i="52"/>
  <c r="P6" i="52"/>
  <c r="N6" i="52"/>
  <c r="L6" i="52"/>
  <c r="K6" i="52"/>
  <c r="J6" i="52"/>
  <c r="I6" i="52"/>
  <c r="H6" i="52"/>
  <c r="H7" i="52" s="1"/>
  <c r="G6" i="52"/>
  <c r="F6" i="52"/>
  <c r="E6" i="52"/>
  <c r="R7" i="52"/>
  <c r="P7" i="52"/>
  <c r="L7" i="52"/>
  <c r="J7" i="52"/>
  <c r="I7" i="52"/>
  <c r="F7" i="52"/>
  <c r="E2" i="52"/>
  <c r="S45" i="51"/>
  <c r="S44" i="51"/>
  <c r="S43" i="51"/>
  <c r="S42" i="51"/>
  <c r="S41" i="51"/>
  <c r="S40" i="51"/>
  <c r="S39" i="51"/>
  <c r="S38" i="51"/>
  <c r="S37" i="51"/>
  <c r="S36" i="51"/>
  <c r="S35" i="51"/>
  <c r="S34" i="51"/>
  <c r="S33" i="51"/>
  <c r="S32" i="51"/>
  <c r="S31" i="51"/>
  <c r="S30" i="51"/>
  <c r="S29" i="51"/>
  <c r="S28" i="51"/>
  <c r="S27" i="51"/>
  <c r="S26" i="51"/>
  <c r="S25" i="51"/>
  <c r="S24" i="51"/>
  <c r="S23" i="51"/>
  <c r="S22" i="51"/>
  <c r="S21" i="51"/>
  <c r="S20" i="51"/>
  <c r="S19" i="51"/>
  <c r="S18" i="51"/>
  <c r="S17" i="51"/>
  <c r="S16" i="51"/>
  <c r="S15" i="51"/>
  <c r="S14" i="51"/>
  <c r="S13" i="51"/>
  <c r="S12" i="51"/>
  <c r="S6" i="51" s="1"/>
  <c r="S59" i="4" s="1"/>
  <c r="S11" i="51"/>
  <c r="R6" i="51"/>
  <c r="Q6" i="51"/>
  <c r="P6" i="51"/>
  <c r="P7" i="51" s="1"/>
  <c r="N6" i="51"/>
  <c r="N7" i="51" s="1"/>
  <c r="L6" i="51"/>
  <c r="K6" i="51"/>
  <c r="J6" i="51"/>
  <c r="I6" i="51"/>
  <c r="I7" i="51" s="1"/>
  <c r="H6" i="51"/>
  <c r="G6" i="51"/>
  <c r="F6" i="51"/>
  <c r="E6" i="51"/>
  <c r="K7" i="51"/>
  <c r="J7" i="51"/>
  <c r="F7" i="51"/>
  <c r="E7" i="51"/>
  <c r="E2" i="51"/>
  <c r="S45" i="50"/>
  <c r="S44" i="50"/>
  <c r="S43" i="50"/>
  <c r="S42" i="50"/>
  <c r="S41" i="50"/>
  <c r="S40" i="50"/>
  <c r="S39" i="50"/>
  <c r="S38" i="50"/>
  <c r="S37" i="50"/>
  <c r="S36" i="50"/>
  <c r="S35" i="50"/>
  <c r="S34" i="50"/>
  <c r="S33" i="50"/>
  <c r="S32" i="50"/>
  <c r="S31" i="50"/>
  <c r="S30" i="50"/>
  <c r="S29" i="50"/>
  <c r="S28" i="50"/>
  <c r="S27" i="50"/>
  <c r="S26" i="50"/>
  <c r="S25" i="50"/>
  <c r="S24" i="50"/>
  <c r="S23" i="50"/>
  <c r="S22" i="50"/>
  <c r="S21" i="50"/>
  <c r="S20" i="50"/>
  <c r="S19" i="50"/>
  <c r="S18" i="50"/>
  <c r="S17" i="50"/>
  <c r="S16" i="50"/>
  <c r="S15" i="50"/>
  <c r="S14" i="50"/>
  <c r="S13" i="50"/>
  <c r="S12" i="50"/>
  <c r="S11" i="50"/>
  <c r="S6" i="50" s="1"/>
  <c r="R6" i="50"/>
  <c r="Q6" i="50"/>
  <c r="P6" i="50"/>
  <c r="N6" i="50"/>
  <c r="L6" i="50"/>
  <c r="K6" i="50"/>
  <c r="J6" i="50"/>
  <c r="I6" i="50"/>
  <c r="H6" i="50"/>
  <c r="G6" i="50"/>
  <c r="F6" i="50"/>
  <c r="E6" i="50"/>
  <c r="E7" i="50" s="1"/>
  <c r="R7" i="50"/>
  <c r="Q7" i="50"/>
  <c r="P7" i="50"/>
  <c r="N7" i="50"/>
  <c r="L7" i="50"/>
  <c r="K7" i="50"/>
  <c r="J7" i="50"/>
  <c r="I7" i="50"/>
  <c r="H7" i="50"/>
  <c r="G7" i="50"/>
  <c r="F7" i="50"/>
  <c r="E2" i="50"/>
  <c r="S45" i="49"/>
  <c r="S44" i="49"/>
  <c r="S43" i="49"/>
  <c r="S42" i="49"/>
  <c r="S41" i="49"/>
  <c r="S40" i="49"/>
  <c r="S39" i="49"/>
  <c r="S38" i="49"/>
  <c r="S37" i="49"/>
  <c r="S36" i="49"/>
  <c r="S35" i="49"/>
  <c r="S34" i="49"/>
  <c r="S33" i="49"/>
  <c r="S32" i="49"/>
  <c r="S31" i="49"/>
  <c r="S30" i="49"/>
  <c r="S29" i="49"/>
  <c r="S28" i="49"/>
  <c r="S27" i="49"/>
  <c r="S26" i="49"/>
  <c r="S25" i="49"/>
  <c r="S24" i="49"/>
  <c r="S23" i="49"/>
  <c r="S22" i="49"/>
  <c r="S21" i="49"/>
  <c r="S20" i="49"/>
  <c r="S19" i="49"/>
  <c r="S18" i="49"/>
  <c r="S17" i="49"/>
  <c r="S16" i="49"/>
  <c r="S15" i="49"/>
  <c r="S14" i="49"/>
  <c r="S13" i="49"/>
  <c r="S12" i="49"/>
  <c r="S11" i="49"/>
  <c r="R6" i="49"/>
  <c r="Q6" i="49"/>
  <c r="P7" i="49"/>
  <c r="L6" i="49"/>
  <c r="K6" i="49"/>
  <c r="J6" i="49"/>
  <c r="I6" i="49"/>
  <c r="I7" i="49" s="1"/>
  <c r="H6" i="49"/>
  <c r="G6" i="49"/>
  <c r="F6" i="49"/>
  <c r="E6" i="49"/>
  <c r="E7" i="49" s="1"/>
  <c r="J7" i="49"/>
  <c r="F7" i="49"/>
  <c r="E2" i="49"/>
  <c r="S45" i="48"/>
  <c r="S44" i="48"/>
  <c r="S43" i="48"/>
  <c r="S42" i="48"/>
  <c r="S41" i="48"/>
  <c r="S40" i="48"/>
  <c r="S39" i="48"/>
  <c r="S38" i="48"/>
  <c r="S37" i="48"/>
  <c r="S36" i="48"/>
  <c r="S35" i="48"/>
  <c r="S34" i="48"/>
  <c r="S33" i="48"/>
  <c r="S32" i="48"/>
  <c r="S31" i="48"/>
  <c r="S30" i="48"/>
  <c r="S29" i="48"/>
  <c r="S28" i="48"/>
  <c r="S27" i="48"/>
  <c r="S26" i="48"/>
  <c r="S25" i="48"/>
  <c r="S24" i="48"/>
  <c r="S23" i="48"/>
  <c r="S22" i="48"/>
  <c r="S21" i="48"/>
  <c r="S20" i="48"/>
  <c r="S19" i="48"/>
  <c r="S18" i="48"/>
  <c r="S17" i="48"/>
  <c r="S16" i="48"/>
  <c r="S15" i="48"/>
  <c r="S14" i="48"/>
  <c r="S13" i="48"/>
  <c r="S12" i="48"/>
  <c r="S11" i="48"/>
  <c r="R6" i="48"/>
  <c r="Q6" i="48"/>
  <c r="P6" i="48"/>
  <c r="P7" i="48" s="1"/>
  <c r="N6" i="48"/>
  <c r="L6" i="48"/>
  <c r="K6" i="48"/>
  <c r="J6" i="48"/>
  <c r="I6" i="48"/>
  <c r="H6" i="48"/>
  <c r="G6" i="48"/>
  <c r="F6" i="48"/>
  <c r="F7" i="48" s="1"/>
  <c r="E6" i="48"/>
  <c r="J7" i="48"/>
  <c r="E2" i="48"/>
  <c r="S45" i="47"/>
  <c r="S44" i="47"/>
  <c r="S43" i="47"/>
  <c r="S42" i="47"/>
  <c r="S41" i="47"/>
  <c r="S40" i="47"/>
  <c r="S39" i="47"/>
  <c r="S38" i="47"/>
  <c r="S37" i="47"/>
  <c r="S36" i="47"/>
  <c r="S35" i="47"/>
  <c r="S34" i="47"/>
  <c r="S33" i="47"/>
  <c r="S32" i="47"/>
  <c r="S31" i="47"/>
  <c r="S30" i="47"/>
  <c r="S29" i="47"/>
  <c r="S28" i="47"/>
  <c r="S27" i="47"/>
  <c r="S26" i="47"/>
  <c r="S25" i="47"/>
  <c r="S24" i="47"/>
  <c r="S23" i="47"/>
  <c r="S22" i="47"/>
  <c r="S21" i="47"/>
  <c r="S20" i="47"/>
  <c r="S19" i="47"/>
  <c r="S18" i="47"/>
  <c r="S17" i="47"/>
  <c r="S16" i="47"/>
  <c r="S15" i="47"/>
  <c r="S14" i="47"/>
  <c r="S13" i="47"/>
  <c r="S12" i="47"/>
  <c r="S11" i="47"/>
  <c r="R6" i="47"/>
  <c r="Q6" i="47"/>
  <c r="P6" i="47"/>
  <c r="N6" i="47"/>
  <c r="N7" i="47" s="1"/>
  <c r="L6" i="47"/>
  <c r="K6" i="47"/>
  <c r="J6" i="47"/>
  <c r="I6" i="47"/>
  <c r="I7" i="47" s="1"/>
  <c r="H6" i="47"/>
  <c r="H7" i="47" s="1"/>
  <c r="G6" i="47"/>
  <c r="F6" i="47"/>
  <c r="F7" i="47" s="1"/>
  <c r="E6" i="47"/>
  <c r="E7" i="47" s="1"/>
  <c r="R7" i="47"/>
  <c r="P7" i="47"/>
  <c r="L7" i="47"/>
  <c r="J7" i="47"/>
  <c r="E2" i="47"/>
  <c r="S45" i="46"/>
  <c r="S44" i="46"/>
  <c r="S43" i="46"/>
  <c r="S42" i="46"/>
  <c r="S41" i="46"/>
  <c r="S40" i="46"/>
  <c r="S39" i="46"/>
  <c r="S38" i="46"/>
  <c r="S37" i="46"/>
  <c r="S36" i="46"/>
  <c r="S35" i="46"/>
  <c r="S34" i="46"/>
  <c r="S33" i="46"/>
  <c r="S32" i="46"/>
  <c r="S31" i="46"/>
  <c r="S30" i="46"/>
  <c r="S29" i="46"/>
  <c r="S28" i="46"/>
  <c r="S27" i="46"/>
  <c r="S26" i="46"/>
  <c r="S25" i="46"/>
  <c r="S24" i="46"/>
  <c r="S23" i="46"/>
  <c r="S22" i="46"/>
  <c r="S21" i="46"/>
  <c r="S20" i="46"/>
  <c r="S19" i="46"/>
  <c r="S18" i="46"/>
  <c r="S17" i="46"/>
  <c r="S16" i="46"/>
  <c r="S15" i="46"/>
  <c r="S14" i="46"/>
  <c r="S13" i="46"/>
  <c r="S12" i="46"/>
  <c r="S11" i="46"/>
  <c r="S6" i="46" s="1"/>
  <c r="R6" i="46"/>
  <c r="Q6" i="46"/>
  <c r="P6" i="46"/>
  <c r="N6" i="46"/>
  <c r="N7" i="46" s="1"/>
  <c r="L6" i="46"/>
  <c r="K6" i="46"/>
  <c r="J6" i="46"/>
  <c r="J7" i="46" s="1"/>
  <c r="I6" i="46"/>
  <c r="H6" i="46"/>
  <c r="G6" i="46"/>
  <c r="F6" i="46"/>
  <c r="F7" i="46" s="1"/>
  <c r="E6" i="46"/>
  <c r="E7" i="46" s="1"/>
  <c r="I7" i="46"/>
  <c r="E2" i="46"/>
  <c r="S45" i="45"/>
  <c r="S44" i="45"/>
  <c r="S43" i="45"/>
  <c r="S42" i="45"/>
  <c r="S41" i="45"/>
  <c r="S40" i="45"/>
  <c r="S39" i="45"/>
  <c r="S38" i="45"/>
  <c r="S37" i="45"/>
  <c r="S36" i="45"/>
  <c r="S35" i="45"/>
  <c r="S34" i="45"/>
  <c r="S33" i="45"/>
  <c r="S32" i="45"/>
  <c r="S31" i="45"/>
  <c r="S30" i="45"/>
  <c r="S29" i="45"/>
  <c r="S28" i="45"/>
  <c r="S27" i="45"/>
  <c r="S26" i="45"/>
  <c r="S25" i="45"/>
  <c r="S24" i="45"/>
  <c r="S23" i="45"/>
  <c r="S22" i="45"/>
  <c r="S21" i="45"/>
  <c r="S20" i="45"/>
  <c r="S19" i="45"/>
  <c r="S18" i="45"/>
  <c r="S17" i="45"/>
  <c r="S16" i="45"/>
  <c r="S15" i="45"/>
  <c r="S14" i="45"/>
  <c r="S13" i="45"/>
  <c r="S12" i="45"/>
  <c r="S11" i="45"/>
  <c r="R6" i="45"/>
  <c r="Q6" i="45"/>
  <c r="P6" i="45"/>
  <c r="P7" i="45" s="1"/>
  <c r="N6" i="45"/>
  <c r="L6" i="45"/>
  <c r="K6" i="45"/>
  <c r="J6" i="45"/>
  <c r="I6" i="45"/>
  <c r="H6" i="45"/>
  <c r="G6" i="45"/>
  <c r="F6" i="45"/>
  <c r="F7" i="45" s="1"/>
  <c r="E6" i="45"/>
  <c r="J7" i="45"/>
  <c r="E2" i="45"/>
  <c r="S45" i="44"/>
  <c r="S44" i="44"/>
  <c r="S43" i="44"/>
  <c r="S42" i="44"/>
  <c r="S41" i="44"/>
  <c r="S40" i="44"/>
  <c r="S39" i="44"/>
  <c r="S38" i="44"/>
  <c r="S37" i="44"/>
  <c r="S36" i="44"/>
  <c r="S35" i="44"/>
  <c r="S34" i="44"/>
  <c r="S33" i="44"/>
  <c r="S32" i="44"/>
  <c r="S31" i="44"/>
  <c r="S30" i="44"/>
  <c r="S29" i="44"/>
  <c r="S28" i="44"/>
  <c r="S27" i="44"/>
  <c r="S26" i="44"/>
  <c r="S25" i="44"/>
  <c r="S24" i="44"/>
  <c r="S23" i="44"/>
  <c r="S22" i="44"/>
  <c r="S21" i="44"/>
  <c r="S20" i="44"/>
  <c r="S19" i="44"/>
  <c r="S18" i="44"/>
  <c r="S17" i="44"/>
  <c r="S16" i="44"/>
  <c r="S15" i="44"/>
  <c r="S14" i="44"/>
  <c r="S13" i="44"/>
  <c r="S12" i="44"/>
  <c r="S11" i="44"/>
  <c r="R6" i="44"/>
  <c r="Q6" i="44"/>
  <c r="Q7" i="44" s="1"/>
  <c r="P6" i="44"/>
  <c r="P7" i="44" s="1"/>
  <c r="N6" i="44"/>
  <c r="L6" i="44"/>
  <c r="K6" i="44"/>
  <c r="K7" i="44" s="1"/>
  <c r="J6" i="44"/>
  <c r="I6" i="44"/>
  <c r="H6" i="44"/>
  <c r="G6" i="44"/>
  <c r="G7" i="44" s="1"/>
  <c r="F6" i="44"/>
  <c r="F7" i="44" s="1"/>
  <c r="E6" i="44"/>
  <c r="E7" i="44" s="1"/>
  <c r="N7" i="44"/>
  <c r="J7" i="44"/>
  <c r="I7" i="44"/>
  <c r="E2" i="44"/>
  <c r="S45" i="43"/>
  <c r="S44" i="43"/>
  <c r="S43" i="43"/>
  <c r="S42" i="43"/>
  <c r="S41" i="43"/>
  <c r="S40" i="43"/>
  <c r="S39" i="43"/>
  <c r="S38" i="43"/>
  <c r="S37" i="43"/>
  <c r="S36" i="43"/>
  <c r="S35" i="43"/>
  <c r="S34" i="43"/>
  <c r="S33" i="43"/>
  <c r="S32" i="43"/>
  <c r="S31" i="43"/>
  <c r="S30" i="43"/>
  <c r="S29" i="43"/>
  <c r="S28" i="43"/>
  <c r="S27" i="43"/>
  <c r="S26" i="43"/>
  <c r="S25" i="43"/>
  <c r="S24" i="43"/>
  <c r="S23" i="43"/>
  <c r="S22" i="43"/>
  <c r="S21" i="43"/>
  <c r="S20" i="43"/>
  <c r="S19" i="43"/>
  <c r="S18" i="43"/>
  <c r="S17" i="43"/>
  <c r="S16" i="43"/>
  <c r="S15" i="43"/>
  <c r="S14" i="43"/>
  <c r="S13" i="43"/>
  <c r="S12" i="43"/>
  <c r="S11" i="43"/>
  <c r="R6" i="43"/>
  <c r="Q6" i="43"/>
  <c r="Q7" i="43" s="1"/>
  <c r="P6" i="43"/>
  <c r="P7" i="43" s="1"/>
  <c r="N6" i="43"/>
  <c r="L6" i="43"/>
  <c r="K6" i="43"/>
  <c r="K7" i="43" s="1"/>
  <c r="J6" i="43"/>
  <c r="J7" i="43" s="1"/>
  <c r="I6" i="43"/>
  <c r="H6" i="43"/>
  <c r="H7" i="43" s="1"/>
  <c r="G6" i="43"/>
  <c r="G7" i="43" s="1"/>
  <c r="F6" i="43"/>
  <c r="F7" i="43" s="1"/>
  <c r="E6" i="43"/>
  <c r="E7" i="43" s="1"/>
  <c r="R7" i="43"/>
  <c r="N7" i="43"/>
  <c r="I7" i="43"/>
  <c r="E2" i="43"/>
  <c r="S45" i="42"/>
  <c r="S44" i="42"/>
  <c r="S43" i="42"/>
  <c r="S42" i="42"/>
  <c r="S41" i="42"/>
  <c r="S40" i="42"/>
  <c r="S39" i="42"/>
  <c r="S38" i="42"/>
  <c r="S37" i="42"/>
  <c r="S36" i="42"/>
  <c r="S35" i="42"/>
  <c r="S34" i="42"/>
  <c r="S33" i="42"/>
  <c r="S32" i="42"/>
  <c r="S31" i="42"/>
  <c r="S30" i="42"/>
  <c r="S29" i="42"/>
  <c r="S28" i="42"/>
  <c r="S27" i="42"/>
  <c r="S26" i="42"/>
  <c r="S25" i="42"/>
  <c r="S24" i="42"/>
  <c r="S23" i="42"/>
  <c r="S22" i="42"/>
  <c r="S21" i="42"/>
  <c r="S20" i="42"/>
  <c r="S19" i="42"/>
  <c r="S18" i="42"/>
  <c r="S17" i="42"/>
  <c r="S16" i="42"/>
  <c r="S15" i="42"/>
  <c r="S14" i="42"/>
  <c r="S13" i="42"/>
  <c r="S12" i="42"/>
  <c r="S11" i="42"/>
  <c r="R6" i="42"/>
  <c r="Q6" i="42"/>
  <c r="P6" i="42"/>
  <c r="N6" i="42"/>
  <c r="L6" i="42"/>
  <c r="K6" i="42"/>
  <c r="J6" i="42"/>
  <c r="I6" i="42"/>
  <c r="H6" i="42"/>
  <c r="G6" i="42"/>
  <c r="F6" i="42"/>
  <c r="E6" i="42"/>
  <c r="E7" i="42" s="1"/>
  <c r="Q7" i="42"/>
  <c r="P7" i="42"/>
  <c r="N7" i="42"/>
  <c r="K7" i="42"/>
  <c r="J7" i="42"/>
  <c r="I7" i="42"/>
  <c r="G7" i="42"/>
  <c r="F7" i="42"/>
  <c r="E2" i="42"/>
  <c r="S45" i="41"/>
  <c r="S44" i="41"/>
  <c r="S43" i="41"/>
  <c r="S42" i="41"/>
  <c r="S41" i="41"/>
  <c r="S40" i="41"/>
  <c r="S39" i="41"/>
  <c r="S38" i="41"/>
  <c r="S37" i="41"/>
  <c r="S36" i="41"/>
  <c r="S35" i="41"/>
  <c r="S34" i="41"/>
  <c r="S33" i="41"/>
  <c r="S32" i="41"/>
  <c r="S31" i="41"/>
  <c r="S30" i="41"/>
  <c r="S29" i="41"/>
  <c r="S28" i="41"/>
  <c r="S27" i="41"/>
  <c r="S26" i="41"/>
  <c r="S25" i="41"/>
  <c r="S24" i="41"/>
  <c r="S23" i="41"/>
  <c r="S22" i="41"/>
  <c r="S21" i="41"/>
  <c r="S20" i="41"/>
  <c r="S19" i="41"/>
  <c r="S18" i="41"/>
  <c r="S17" i="41"/>
  <c r="S16" i="41"/>
  <c r="S15" i="41"/>
  <c r="S14" i="41"/>
  <c r="S13" i="41"/>
  <c r="S12" i="41"/>
  <c r="S11" i="41"/>
  <c r="R6" i="41"/>
  <c r="Q6" i="41"/>
  <c r="Q7" i="41" s="1"/>
  <c r="P6" i="41"/>
  <c r="N6" i="41"/>
  <c r="N7" i="41" s="1"/>
  <c r="L6" i="41"/>
  <c r="K6" i="41"/>
  <c r="K7" i="41" s="1"/>
  <c r="J6" i="41"/>
  <c r="I6" i="41"/>
  <c r="I7" i="41" s="1"/>
  <c r="H6" i="41"/>
  <c r="G6" i="41"/>
  <c r="F6" i="41"/>
  <c r="E6" i="41"/>
  <c r="E7" i="41" s="1"/>
  <c r="P7" i="41"/>
  <c r="E2" i="41"/>
  <c r="S45" i="40"/>
  <c r="S44" i="40"/>
  <c r="S43" i="40"/>
  <c r="S42" i="40"/>
  <c r="S41" i="40"/>
  <c r="S40" i="40"/>
  <c r="S39" i="40"/>
  <c r="S38" i="40"/>
  <c r="S37" i="40"/>
  <c r="S36" i="40"/>
  <c r="S35" i="40"/>
  <c r="S34" i="40"/>
  <c r="S33" i="40"/>
  <c r="S32" i="40"/>
  <c r="S31" i="40"/>
  <c r="S30" i="40"/>
  <c r="S29" i="40"/>
  <c r="S28" i="40"/>
  <c r="S27" i="40"/>
  <c r="S26" i="40"/>
  <c r="S25" i="40"/>
  <c r="S24" i="40"/>
  <c r="S23" i="40"/>
  <c r="S22" i="40"/>
  <c r="S21" i="40"/>
  <c r="S20" i="40"/>
  <c r="S19" i="40"/>
  <c r="S18" i="40"/>
  <c r="S17" i="40"/>
  <c r="S16" i="40"/>
  <c r="S15" i="40"/>
  <c r="S14" i="40"/>
  <c r="S13" i="40"/>
  <c r="S12" i="40"/>
  <c r="S11" i="40"/>
  <c r="R6" i="40"/>
  <c r="Q6" i="40"/>
  <c r="P6" i="40"/>
  <c r="N6" i="40"/>
  <c r="L6" i="40"/>
  <c r="K6" i="40"/>
  <c r="J6" i="40"/>
  <c r="I6" i="40"/>
  <c r="H6" i="40"/>
  <c r="G6" i="40"/>
  <c r="F6" i="40"/>
  <c r="E6" i="40"/>
  <c r="Q7" i="40"/>
  <c r="N7" i="40"/>
  <c r="K7" i="40"/>
  <c r="I7" i="40"/>
  <c r="G7" i="40"/>
  <c r="E7" i="40"/>
  <c r="E2" i="40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R6" i="39"/>
  <c r="Q6" i="39"/>
  <c r="P6" i="39"/>
  <c r="N6" i="39"/>
  <c r="L6" i="39"/>
  <c r="K6" i="39"/>
  <c r="J6" i="39"/>
  <c r="I6" i="39"/>
  <c r="H6" i="39"/>
  <c r="G6" i="39"/>
  <c r="F6" i="39"/>
  <c r="E6" i="39"/>
  <c r="E7" i="39" s="1"/>
  <c r="R7" i="39"/>
  <c r="Q7" i="39"/>
  <c r="N7" i="39"/>
  <c r="L7" i="39"/>
  <c r="K7" i="39"/>
  <c r="I7" i="39"/>
  <c r="H7" i="39"/>
  <c r="F7" i="39"/>
  <c r="E2" i="39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S13" i="38"/>
  <c r="S12" i="38"/>
  <c r="S11" i="38"/>
  <c r="R6" i="38"/>
  <c r="Q6" i="38"/>
  <c r="P6" i="38"/>
  <c r="N6" i="38"/>
  <c r="L6" i="38"/>
  <c r="K6" i="38"/>
  <c r="J6" i="38"/>
  <c r="I6" i="38"/>
  <c r="H6" i="38"/>
  <c r="G6" i="38"/>
  <c r="F6" i="38"/>
  <c r="F7" i="38" s="1"/>
  <c r="E6" i="38"/>
  <c r="E7" i="38" s="1"/>
  <c r="Q7" i="38"/>
  <c r="P7" i="38"/>
  <c r="N7" i="38"/>
  <c r="K7" i="38"/>
  <c r="J7" i="38"/>
  <c r="I7" i="38"/>
  <c r="G7" i="38"/>
  <c r="E2" i="38"/>
  <c r="E5" i="37"/>
  <c r="F5" i="37"/>
  <c r="G5" i="37"/>
  <c r="H5" i="37"/>
  <c r="I5" i="37"/>
  <c r="J5" i="37"/>
  <c r="K5" i="37"/>
  <c r="L5" i="37"/>
  <c r="N5" i="37"/>
  <c r="P5" i="37"/>
  <c r="Q5" i="37"/>
  <c r="R5" i="37"/>
  <c r="C9" i="37"/>
  <c r="C8" i="37"/>
  <c r="E5" i="36"/>
  <c r="F5" i="36"/>
  <c r="F7" i="36" s="1"/>
  <c r="G5" i="36"/>
  <c r="H5" i="36"/>
  <c r="H7" i="36" s="1"/>
  <c r="I5" i="36"/>
  <c r="J5" i="36"/>
  <c r="J7" i="36" s="1"/>
  <c r="K5" i="36"/>
  <c r="L5" i="36"/>
  <c r="N5" i="36"/>
  <c r="P5" i="36"/>
  <c r="P7" i="36" s="1"/>
  <c r="Q5" i="36"/>
  <c r="R5" i="36"/>
  <c r="R7" i="36" s="1"/>
  <c r="C9" i="36"/>
  <c r="C8" i="36"/>
  <c r="E5" i="35"/>
  <c r="F5" i="35"/>
  <c r="G5" i="35"/>
  <c r="H5" i="35"/>
  <c r="I5" i="35"/>
  <c r="J5" i="35"/>
  <c r="K5" i="35"/>
  <c r="L5" i="35"/>
  <c r="N5" i="35"/>
  <c r="P5" i="35"/>
  <c r="P7" i="35" s="1"/>
  <c r="Q5" i="35"/>
  <c r="R5" i="35"/>
  <c r="R7" i="35" s="1"/>
  <c r="C9" i="35"/>
  <c r="C8" i="35"/>
  <c r="E5" i="34"/>
  <c r="F5" i="34"/>
  <c r="G5" i="34"/>
  <c r="H5" i="34"/>
  <c r="I5" i="34"/>
  <c r="J5" i="34"/>
  <c r="J7" i="34" s="1"/>
  <c r="K5" i="34"/>
  <c r="L5" i="34"/>
  <c r="N5" i="34"/>
  <c r="P5" i="34"/>
  <c r="P7" i="34" s="1"/>
  <c r="Q5" i="34"/>
  <c r="R5" i="34"/>
  <c r="R7" i="34" s="1"/>
  <c r="C9" i="34"/>
  <c r="C8" i="34"/>
  <c r="E5" i="33"/>
  <c r="F5" i="33"/>
  <c r="F7" i="33" s="1"/>
  <c r="G5" i="33"/>
  <c r="H5" i="33"/>
  <c r="I5" i="33"/>
  <c r="J5" i="33"/>
  <c r="K5" i="33"/>
  <c r="L5" i="33"/>
  <c r="L7" i="33" s="1"/>
  <c r="Q5" i="33"/>
  <c r="R5" i="33"/>
  <c r="C9" i="33"/>
  <c r="C8" i="33"/>
  <c r="E5" i="32"/>
  <c r="F5" i="32"/>
  <c r="G5" i="32"/>
  <c r="H5" i="32"/>
  <c r="H7" i="32" s="1"/>
  <c r="I5" i="32"/>
  <c r="J5" i="32"/>
  <c r="K5" i="32"/>
  <c r="L5" i="32"/>
  <c r="N5" i="32"/>
  <c r="P5" i="32"/>
  <c r="Q5" i="32"/>
  <c r="R5" i="32"/>
  <c r="R7" i="32" s="1"/>
  <c r="C9" i="32"/>
  <c r="C8" i="32"/>
  <c r="E5" i="31"/>
  <c r="F5" i="31"/>
  <c r="F7" i="31" s="1"/>
  <c r="G5" i="31"/>
  <c r="H5" i="31"/>
  <c r="I5" i="31"/>
  <c r="J5" i="31"/>
  <c r="J7" i="31" s="1"/>
  <c r="K5" i="31"/>
  <c r="L5" i="31"/>
  <c r="N5" i="31"/>
  <c r="P5" i="31"/>
  <c r="P7" i="31" s="1"/>
  <c r="Q5" i="31"/>
  <c r="R5" i="31"/>
  <c r="C9" i="31"/>
  <c r="C8" i="31"/>
  <c r="E5" i="30"/>
  <c r="F5" i="30"/>
  <c r="G5" i="30"/>
  <c r="H5" i="30"/>
  <c r="I5" i="30"/>
  <c r="J5" i="30"/>
  <c r="K5" i="30"/>
  <c r="L5" i="30"/>
  <c r="N5" i="30"/>
  <c r="P5" i="30"/>
  <c r="Q5" i="30"/>
  <c r="R5" i="30"/>
  <c r="R7" i="30" s="1"/>
  <c r="C9" i="30"/>
  <c r="C8" i="30"/>
  <c r="E5" i="29"/>
  <c r="F5" i="29"/>
  <c r="G5" i="29"/>
  <c r="H5" i="29"/>
  <c r="I5" i="29"/>
  <c r="J5" i="29"/>
  <c r="J7" i="29" s="1"/>
  <c r="K5" i="29"/>
  <c r="L5" i="29"/>
  <c r="N5" i="29"/>
  <c r="P5" i="29"/>
  <c r="Q5" i="29"/>
  <c r="R5" i="29"/>
  <c r="C9" i="29"/>
  <c r="C8" i="29"/>
  <c r="E5" i="28"/>
  <c r="F5" i="28"/>
  <c r="F7" i="28" s="1"/>
  <c r="G5" i="28"/>
  <c r="H5" i="28"/>
  <c r="I5" i="28"/>
  <c r="J5" i="28"/>
  <c r="K5" i="28"/>
  <c r="L5" i="28"/>
  <c r="N5" i="28"/>
  <c r="P5" i="28"/>
  <c r="Q5" i="28"/>
  <c r="R5" i="28"/>
  <c r="C9" i="28"/>
  <c r="C8" i="28"/>
  <c r="E5" i="27"/>
  <c r="F5" i="27"/>
  <c r="F7" i="27" s="1"/>
  <c r="G5" i="27"/>
  <c r="H5" i="27"/>
  <c r="I5" i="27"/>
  <c r="J5" i="27"/>
  <c r="J7" i="27" s="1"/>
  <c r="K5" i="27"/>
  <c r="L5" i="27"/>
  <c r="N5" i="27"/>
  <c r="P5" i="27"/>
  <c r="P7" i="27" s="1"/>
  <c r="Q5" i="27"/>
  <c r="R5" i="27"/>
  <c r="C9" i="27"/>
  <c r="C8" i="27"/>
  <c r="E5" i="26"/>
  <c r="F5" i="26"/>
  <c r="G5" i="26"/>
  <c r="H5" i="26"/>
  <c r="I5" i="26"/>
  <c r="J5" i="26"/>
  <c r="J7" i="26" s="1"/>
  <c r="K5" i="26"/>
  <c r="L5" i="26"/>
  <c r="N5" i="26"/>
  <c r="P5" i="26"/>
  <c r="Q5" i="26"/>
  <c r="R5" i="26"/>
  <c r="C9" i="26"/>
  <c r="C8" i="26"/>
  <c r="E5" i="25"/>
  <c r="F5" i="25"/>
  <c r="F7" i="25" s="1"/>
  <c r="G5" i="25"/>
  <c r="H5" i="25"/>
  <c r="I5" i="25"/>
  <c r="J5" i="25"/>
  <c r="J7" i="25" s="1"/>
  <c r="K5" i="25"/>
  <c r="L5" i="25"/>
  <c r="N5" i="25"/>
  <c r="P5" i="25"/>
  <c r="P7" i="25" s="1"/>
  <c r="Q5" i="25"/>
  <c r="R5" i="25"/>
  <c r="C9" i="25"/>
  <c r="C8" i="25"/>
  <c r="E5" i="24"/>
  <c r="F5" i="24"/>
  <c r="G5" i="24"/>
  <c r="H5" i="24"/>
  <c r="H7" i="24" s="1"/>
  <c r="I5" i="24"/>
  <c r="J5" i="24"/>
  <c r="K5" i="24"/>
  <c r="L5" i="24"/>
  <c r="L7" i="24" s="1"/>
  <c r="N5" i="24"/>
  <c r="P5" i="24"/>
  <c r="Q5" i="24"/>
  <c r="R5" i="24"/>
  <c r="R7" i="24" s="1"/>
  <c r="C9" i="24"/>
  <c r="C8" i="24"/>
  <c r="S45" i="37"/>
  <c r="S44" i="37"/>
  <c r="S43" i="37"/>
  <c r="S42" i="37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S27" i="37"/>
  <c r="S26" i="37"/>
  <c r="S25" i="37"/>
  <c r="S24" i="37"/>
  <c r="S23" i="37"/>
  <c r="S22" i="37"/>
  <c r="S21" i="37"/>
  <c r="S20" i="37"/>
  <c r="S19" i="37"/>
  <c r="S18" i="37"/>
  <c r="S17" i="37"/>
  <c r="S16" i="37"/>
  <c r="S15" i="37"/>
  <c r="S14" i="37"/>
  <c r="S13" i="37"/>
  <c r="S12" i="37"/>
  <c r="S6" i="37" s="1"/>
  <c r="S11" i="37"/>
  <c r="R6" i="37"/>
  <c r="Q6" i="37"/>
  <c r="Q7" i="37" s="1"/>
  <c r="P6" i="37"/>
  <c r="P7" i="37" s="1"/>
  <c r="N6" i="37"/>
  <c r="L6" i="37"/>
  <c r="K6" i="37"/>
  <c r="K7" i="37" s="1"/>
  <c r="J6" i="37"/>
  <c r="J7" i="37" s="1"/>
  <c r="I6" i="37"/>
  <c r="I7" i="37" s="1"/>
  <c r="H6" i="37"/>
  <c r="G6" i="37"/>
  <c r="G7" i="37" s="1"/>
  <c r="F6" i="37"/>
  <c r="E6" i="37"/>
  <c r="E7" i="37" s="1"/>
  <c r="N7" i="37"/>
  <c r="F7" i="37"/>
  <c r="E2" i="37"/>
  <c r="S45" i="36"/>
  <c r="S44" i="36"/>
  <c r="S43" i="36"/>
  <c r="S42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S27" i="36"/>
  <c r="S26" i="36"/>
  <c r="S25" i="36"/>
  <c r="S24" i="36"/>
  <c r="S23" i="36"/>
  <c r="S22" i="36"/>
  <c r="S21" i="36"/>
  <c r="S20" i="36"/>
  <c r="S19" i="36"/>
  <c r="S18" i="36"/>
  <c r="S17" i="36"/>
  <c r="S16" i="36"/>
  <c r="S15" i="36"/>
  <c r="S14" i="36"/>
  <c r="S13" i="36"/>
  <c r="S12" i="36"/>
  <c r="S11" i="36"/>
  <c r="R6" i="36"/>
  <c r="Q6" i="36"/>
  <c r="P6" i="36"/>
  <c r="N6" i="36"/>
  <c r="N7" i="36" s="1"/>
  <c r="L6" i="36"/>
  <c r="K6" i="36"/>
  <c r="J6" i="36"/>
  <c r="I6" i="36"/>
  <c r="H6" i="36"/>
  <c r="G6" i="36"/>
  <c r="F6" i="36"/>
  <c r="E6" i="36"/>
  <c r="E7" i="36" s="1"/>
  <c r="I7" i="36"/>
  <c r="E2" i="36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6" i="35" s="1"/>
  <c r="S42" i="4" s="1"/>
  <c r="S12" i="35"/>
  <c r="R6" i="35"/>
  <c r="Q6" i="35"/>
  <c r="P6" i="35"/>
  <c r="N6" i="35"/>
  <c r="L6" i="35"/>
  <c r="K6" i="35"/>
  <c r="K7" i="35" s="1"/>
  <c r="J6" i="35"/>
  <c r="I6" i="35"/>
  <c r="H6" i="35"/>
  <c r="G6" i="35"/>
  <c r="G7" i="35" s="1"/>
  <c r="F6" i="35"/>
  <c r="E6" i="35"/>
  <c r="Q7" i="35"/>
  <c r="F7" i="35"/>
  <c r="E2" i="35"/>
  <c r="S45" i="34"/>
  <c r="S44" i="34"/>
  <c r="S43" i="34"/>
  <c r="S42" i="34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S27" i="34"/>
  <c r="S26" i="34"/>
  <c r="S25" i="34"/>
  <c r="S24" i="34"/>
  <c r="S23" i="34"/>
  <c r="S22" i="34"/>
  <c r="S21" i="34"/>
  <c r="S20" i="34"/>
  <c r="S19" i="34"/>
  <c r="S18" i="34"/>
  <c r="S17" i="34"/>
  <c r="S16" i="34"/>
  <c r="S15" i="34"/>
  <c r="S14" i="34"/>
  <c r="S13" i="34"/>
  <c r="S12" i="34"/>
  <c r="S11" i="34"/>
  <c r="R6" i="34"/>
  <c r="Q6" i="34"/>
  <c r="P6" i="34"/>
  <c r="N6" i="34"/>
  <c r="N7" i="34" s="1"/>
  <c r="L6" i="34"/>
  <c r="K6" i="34"/>
  <c r="J6" i="34"/>
  <c r="I6" i="34"/>
  <c r="I7" i="34" s="1"/>
  <c r="H6" i="34"/>
  <c r="G6" i="34"/>
  <c r="G7" i="34" s="1"/>
  <c r="F6" i="34"/>
  <c r="E6" i="34"/>
  <c r="E7" i="34" s="1"/>
  <c r="K7" i="34"/>
  <c r="F7" i="34"/>
  <c r="E2" i="34"/>
  <c r="S45" i="33"/>
  <c r="S44" i="33"/>
  <c r="S43" i="33"/>
  <c r="S42" i="33"/>
  <c r="S41" i="33"/>
  <c r="S40" i="33"/>
  <c r="S39" i="33"/>
  <c r="S38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R6" i="33"/>
  <c r="Q6" i="33"/>
  <c r="K6" i="33"/>
  <c r="J6" i="33"/>
  <c r="I6" i="33"/>
  <c r="I7" i="33" s="1"/>
  <c r="H6" i="33"/>
  <c r="G6" i="33"/>
  <c r="G7" i="33" s="1"/>
  <c r="F6" i="33"/>
  <c r="E6" i="33"/>
  <c r="E7" i="33" s="1"/>
  <c r="Q7" i="33"/>
  <c r="K7" i="33"/>
  <c r="J7" i="33"/>
  <c r="E2" i="33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S13" i="32"/>
  <c r="S12" i="32"/>
  <c r="S11" i="32"/>
  <c r="R6" i="32"/>
  <c r="Q6" i="32"/>
  <c r="Q7" i="32" s="1"/>
  <c r="P6" i="32"/>
  <c r="N6" i="32"/>
  <c r="L6" i="32"/>
  <c r="K6" i="32"/>
  <c r="K7" i="32" s="1"/>
  <c r="J6" i="32"/>
  <c r="J7" i="32" s="1"/>
  <c r="I6" i="32"/>
  <c r="H6" i="32"/>
  <c r="G6" i="32"/>
  <c r="G7" i="32" s="1"/>
  <c r="F6" i="32"/>
  <c r="E6" i="32"/>
  <c r="N7" i="32"/>
  <c r="L7" i="32"/>
  <c r="I7" i="32"/>
  <c r="E7" i="32"/>
  <c r="E2" i="32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R6" i="31"/>
  <c r="Q6" i="31"/>
  <c r="P6" i="31"/>
  <c r="N6" i="31"/>
  <c r="N7" i="31" s="1"/>
  <c r="L6" i="31"/>
  <c r="K6" i="31"/>
  <c r="J6" i="31"/>
  <c r="I6" i="31"/>
  <c r="I7" i="31" s="1"/>
  <c r="H6" i="31"/>
  <c r="G6" i="31"/>
  <c r="F6" i="31"/>
  <c r="E6" i="31"/>
  <c r="E7" i="31" s="1"/>
  <c r="Q7" i="31"/>
  <c r="K7" i="31"/>
  <c r="G7" i="31"/>
  <c r="E2" i="31"/>
  <c r="S45" i="30"/>
  <c r="S44" i="30"/>
  <c r="S43" i="30"/>
  <c r="S42" i="30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S27" i="30"/>
  <c r="S26" i="30"/>
  <c r="S25" i="30"/>
  <c r="S24" i="30"/>
  <c r="S23" i="30"/>
  <c r="S22" i="30"/>
  <c r="S21" i="30"/>
  <c r="S20" i="30"/>
  <c r="S19" i="30"/>
  <c r="S18" i="30"/>
  <c r="S17" i="30"/>
  <c r="S16" i="30"/>
  <c r="S15" i="30"/>
  <c r="S14" i="30"/>
  <c r="S13" i="30"/>
  <c r="S12" i="30"/>
  <c r="S11" i="30"/>
  <c r="R6" i="30"/>
  <c r="Q6" i="30"/>
  <c r="P6" i="30"/>
  <c r="N6" i="30"/>
  <c r="N7" i="30" s="1"/>
  <c r="L6" i="30"/>
  <c r="K6" i="30"/>
  <c r="K7" i="30" s="1"/>
  <c r="J6" i="30"/>
  <c r="I6" i="30"/>
  <c r="I7" i="30" s="1"/>
  <c r="H6" i="30"/>
  <c r="G6" i="30"/>
  <c r="F6" i="30"/>
  <c r="E6" i="30"/>
  <c r="E7" i="30" s="1"/>
  <c r="Q7" i="30"/>
  <c r="L7" i="30"/>
  <c r="G7" i="30"/>
  <c r="E2" i="30"/>
  <c r="S45" i="29"/>
  <c r="S44" i="29"/>
  <c r="S43" i="29"/>
  <c r="S42" i="29"/>
  <c r="S41" i="29"/>
  <c r="S40" i="29"/>
  <c r="S39" i="29"/>
  <c r="S38" i="29"/>
  <c r="S37" i="29"/>
  <c r="S36" i="29"/>
  <c r="S35" i="29"/>
  <c r="S34" i="29"/>
  <c r="S33" i="29"/>
  <c r="S32" i="29"/>
  <c r="S31" i="29"/>
  <c r="S30" i="29"/>
  <c r="S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R6" i="29"/>
  <c r="Q6" i="29"/>
  <c r="Q7" i="29" s="1"/>
  <c r="P6" i="29"/>
  <c r="N6" i="29"/>
  <c r="N7" i="29" s="1"/>
  <c r="L6" i="29"/>
  <c r="K6" i="29"/>
  <c r="K7" i="29" s="1"/>
  <c r="J6" i="29"/>
  <c r="I6" i="29"/>
  <c r="I7" i="29" s="1"/>
  <c r="H6" i="29"/>
  <c r="G6" i="29"/>
  <c r="G7" i="29" s="1"/>
  <c r="F6" i="29"/>
  <c r="E6" i="29"/>
  <c r="E7" i="29" s="1"/>
  <c r="P7" i="29"/>
  <c r="E2" i="29"/>
  <c r="S45" i="28"/>
  <c r="S44" i="28"/>
  <c r="S43" i="28"/>
  <c r="S42" i="28"/>
  <c r="S41" i="28"/>
  <c r="S40" i="28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R6" i="28"/>
  <c r="Q6" i="28"/>
  <c r="P6" i="28"/>
  <c r="N6" i="28"/>
  <c r="L6" i="28"/>
  <c r="K6" i="28"/>
  <c r="J6" i="28"/>
  <c r="I6" i="28"/>
  <c r="H6" i="28"/>
  <c r="H7" i="28" s="1"/>
  <c r="G6" i="28"/>
  <c r="F6" i="28"/>
  <c r="E6" i="28"/>
  <c r="R7" i="28"/>
  <c r="Q7" i="28"/>
  <c r="P7" i="28"/>
  <c r="N7" i="28"/>
  <c r="L7" i="28"/>
  <c r="K7" i="28"/>
  <c r="J7" i="28"/>
  <c r="I7" i="28"/>
  <c r="G7" i="28"/>
  <c r="E7" i="28"/>
  <c r="E2" i="28"/>
  <c r="S45" i="27"/>
  <c r="S44" i="27"/>
  <c r="S43" i="27"/>
  <c r="S42" i="27"/>
  <c r="S41" i="27"/>
  <c r="S40" i="27"/>
  <c r="S39" i="27"/>
  <c r="S38" i="27"/>
  <c r="S37" i="27"/>
  <c r="S36" i="27"/>
  <c r="S35" i="27"/>
  <c r="S34" i="27"/>
  <c r="S33" i="27"/>
  <c r="S32" i="27"/>
  <c r="S31" i="27"/>
  <c r="S30" i="27"/>
  <c r="S29" i="27"/>
  <c r="S28" i="27"/>
  <c r="S27" i="27"/>
  <c r="S26" i="27"/>
  <c r="S25" i="27"/>
  <c r="S24" i="27"/>
  <c r="S23" i="27"/>
  <c r="S22" i="27"/>
  <c r="S21" i="27"/>
  <c r="S20" i="27"/>
  <c r="S19" i="27"/>
  <c r="S18" i="27"/>
  <c r="S17" i="27"/>
  <c r="S16" i="27"/>
  <c r="S15" i="27"/>
  <c r="S14" i="27"/>
  <c r="S13" i="27"/>
  <c r="S12" i="27"/>
  <c r="S11" i="27"/>
  <c r="R6" i="27"/>
  <c r="Q6" i="27"/>
  <c r="P6" i="27"/>
  <c r="N6" i="27"/>
  <c r="L6" i="27"/>
  <c r="K6" i="27"/>
  <c r="J6" i="27"/>
  <c r="I6" i="27"/>
  <c r="H6" i="27"/>
  <c r="G6" i="27"/>
  <c r="F6" i="27"/>
  <c r="E6" i="27"/>
  <c r="R7" i="27"/>
  <c r="Q7" i="27"/>
  <c r="N7" i="27"/>
  <c r="L7" i="27"/>
  <c r="K7" i="27"/>
  <c r="I7" i="27"/>
  <c r="H7" i="27"/>
  <c r="G7" i="27"/>
  <c r="E7" i="27"/>
  <c r="E2" i="27"/>
  <c r="S45" i="26"/>
  <c r="S44" i="26"/>
  <c r="S43" i="26"/>
  <c r="S42" i="26"/>
  <c r="S41" i="26"/>
  <c r="S40" i="26"/>
  <c r="S39" i="26"/>
  <c r="S38" i="26"/>
  <c r="S37" i="26"/>
  <c r="S36" i="26"/>
  <c r="S35" i="26"/>
  <c r="S34" i="26"/>
  <c r="S33" i="26"/>
  <c r="S32" i="26"/>
  <c r="S31" i="26"/>
  <c r="S30" i="26"/>
  <c r="S29" i="26"/>
  <c r="S28" i="26"/>
  <c r="S27" i="26"/>
  <c r="S26" i="26"/>
  <c r="S25" i="26"/>
  <c r="S24" i="26"/>
  <c r="S23" i="26"/>
  <c r="S22" i="26"/>
  <c r="S21" i="26"/>
  <c r="S20" i="26"/>
  <c r="S19" i="26"/>
  <c r="S18" i="26"/>
  <c r="S17" i="26"/>
  <c r="S16" i="26"/>
  <c r="S15" i="26"/>
  <c r="S14" i="26"/>
  <c r="S13" i="26"/>
  <c r="S12" i="26"/>
  <c r="S11" i="26"/>
  <c r="R6" i="26"/>
  <c r="Q6" i="26"/>
  <c r="P6" i="26"/>
  <c r="N6" i="26"/>
  <c r="N7" i="26" s="1"/>
  <c r="L6" i="26"/>
  <c r="K6" i="26"/>
  <c r="J6" i="26"/>
  <c r="I6" i="26"/>
  <c r="I7" i="26" s="1"/>
  <c r="H6" i="26"/>
  <c r="G6" i="26"/>
  <c r="F6" i="26"/>
  <c r="E6" i="26"/>
  <c r="E7" i="26" s="1"/>
  <c r="P7" i="26"/>
  <c r="L7" i="26"/>
  <c r="F7" i="26"/>
  <c r="E2" i="26"/>
  <c r="S45" i="25"/>
  <c r="S44" i="25"/>
  <c r="S43" i="25"/>
  <c r="S42" i="25"/>
  <c r="S41" i="25"/>
  <c r="S40" i="25"/>
  <c r="S39" i="25"/>
  <c r="S38" i="25"/>
  <c r="S37" i="25"/>
  <c r="S36" i="25"/>
  <c r="S35" i="25"/>
  <c r="S34" i="25"/>
  <c r="S33" i="25"/>
  <c r="S32" i="25"/>
  <c r="S31" i="25"/>
  <c r="S30" i="25"/>
  <c r="S29" i="25"/>
  <c r="S28" i="25"/>
  <c r="S27" i="25"/>
  <c r="S26" i="25"/>
  <c r="S25" i="25"/>
  <c r="S24" i="25"/>
  <c r="S23" i="25"/>
  <c r="S22" i="25"/>
  <c r="S21" i="25"/>
  <c r="S20" i="25"/>
  <c r="S19" i="25"/>
  <c r="S18" i="25"/>
  <c r="S17" i="25"/>
  <c r="S16" i="25"/>
  <c r="S15" i="25"/>
  <c r="S14" i="25"/>
  <c r="S13" i="25"/>
  <c r="S12" i="25"/>
  <c r="S11" i="25"/>
  <c r="R6" i="25"/>
  <c r="Q6" i="25"/>
  <c r="P6" i="25"/>
  <c r="N6" i="25"/>
  <c r="L6" i="25"/>
  <c r="K6" i="25"/>
  <c r="J6" i="25"/>
  <c r="I6" i="25"/>
  <c r="H6" i="25"/>
  <c r="G6" i="25"/>
  <c r="G7" i="25" s="1"/>
  <c r="F6" i="25"/>
  <c r="E6" i="25"/>
  <c r="E7" i="25" s="1"/>
  <c r="R7" i="25"/>
  <c r="Q7" i="25"/>
  <c r="N7" i="25"/>
  <c r="L7" i="25"/>
  <c r="K7" i="25"/>
  <c r="I7" i="25"/>
  <c r="H7" i="25"/>
  <c r="E2" i="25"/>
  <c r="S45" i="24"/>
  <c r="S44" i="24"/>
  <c r="S43" i="24"/>
  <c r="S42" i="24"/>
  <c r="S41" i="24"/>
  <c r="S40" i="24"/>
  <c r="S39" i="24"/>
  <c r="S38" i="24"/>
  <c r="S37" i="24"/>
  <c r="S36" i="24"/>
  <c r="S35" i="24"/>
  <c r="S34" i="24"/>
  <c r="S33" i="24"/>
  <c r="S32" i="24"/>
  <c r="S31" i="24"/>
  <c r="S30" i="24"/>
  <c r="S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R6" i="24"/>
  <c r="Q6" i="24"/>
  <c r="Q7" i="24" s="1"/>
  <c r="P6" i="24"/>
  <c r="P7" i="24" s="1"/>
  <c r="N6" i="24"/>
  <c r="L6" i="24"/>
  <c r="K6" i="24"/>
  <c r="K7" i="24" s="1"/>
  <c r="J6" i="24"/>
  <c r="J7" i="24" s="1"/>
  <c r="I6" i="24"/>
  <c r="H6" i="24"/>
  <c r="G6" i="24"/>
  <c r="G7" i="24" s="1"/>
  <c r="F6" i="24"/>
  <c r="F7" i="24" s="1"/>
  <c r="E6" i="24"/>
  <c r="E7" i="24" s="1"/>
  <c r="N7" i="24"/>
  <c r="I7" i="24"/>
  <c r="E2" i="24"/>
  <c r="S6" i="25" l="1"/>
  <c r="H7" i="26"/>
  <c r="H7" i="35"/>
  <c r="L7" i="35"/>
  <c r="K7" i="45"/>
  <c r="Q7" i="45"/>
  <c r="G7" i="48"/>
  <c r="E7" i="53"/>
  <c r="S6" i="53"/>
  <c r="G7" i="54"/>
  <c r="S6" i="62"/>
  <c r="S6" i="26"/>
  <c r="S33" i="4" s="1"/>
  <c r="H7" i="33"/>
  <c r="L7" i="37"/>
  <c r="F7" i="41"/>
  <c r="E7" i="52"/>
  <c r="H7" i="30"/>
  <c r="H7" i="37"/>
  <c r="R7" i="37"/>
  <c r="S6" i="24"/>
  <c r="F7" i="29"/>
  <c r="R7" i="33"/>
  <c r="H7" i="34"/>
  <c r="L7" i="34"/>
  <c r="J7" i="35"/>
  <c r="L7" i="36"/>
  <c r="E7" i="45"/>
  <c r="I7" i="45"/>
  <c r="S6" i="45"/>
  <c r="I7" i="48"/>
  <c r="N7" i="48"/>
  <c r="S6" i="48"/>
  <c r="Q7" i="49"/>
  <c r="E7" i="54"/>
  <c r="G7" i="39"/>
  <c r="S6" i="33"/>
  <c r="S40" i="4" s="1"/>
  <c r="S6" i="41"/>
  <c r="G7" i="41"/>
  <c r="P7" i="46"/>
  <c r="S6" i="36"/>
  <c r="S43" i="4" s="1"/>
  <c r="Q7" i="34"/>
  <c r="S6" i="34"/>
  <c r="S41" i="4" s="1"/>
  <c r="S6" i="56"/>
  <c r="S65" i="4" s="1"/>
  <c r="S6" i="49"/>
  <c r="S57" i="4" s="1"/>
  <c r="G7" i="49"/>
  <c r="S6" i="47"/>
  <c r="S55" i="4" s="1"/>
  <c r="S6" i="40"/>
  <c r="S48" i="4" s="1"/>
  <c r="S6" i="39"/>
  <c r="S47" i="4" s="1"/>
  <c r="S6" i="58"/>
  <c r="S6" i="59"/>
  <c r="S68" i="4" s="1"/>
  <c r="S6" i="31"/>
  <c r="S38" i="4" s="1"/>
  <c r="S6" i="30"/>
  <c r="S37" i="4" s="1"/>
  <c r="S6" i="29"/>
  <c r="S6" i="27"/>
  <c r="S34" i="4" s="1"/>
  <c r="E7" i="48"/>
  <c r="S31" i="4"/>
  <c r="S44" i="4"/>
  <c r="S6" i="61"/>
  <c r="S70" i="4" s="1"/>
  <c r="S6" i="28"/>
  <c r="S35" i="4" s="1"/>
  <c r="S6" i="42"/>
  <c r="S50" i="4" s="1"/>
  <c r="S6" i="54"/>
  <c r="S62" i="4" s="1"/>
  <c r="S6" i="55"/>
  <c r="S64" i="4" s="1"/>
  <c r="N7" i="35"/>
  <c r="I7" i="35"/>
  <c r="R7" i="41"/>
  <c r="H7" i="41"/>
  <c r="S49" i="4"/>
  <c r="L7" i="43"/>
  <c r="R7" i="44"/>
  <c r="L7" i="44"/>
  <c r="H7" i="44"/>
  <c r="Q7" i="47"/>
  <c r="K7" i="47"/>
  <c r="G7" i="47"/>
  <c r="Q7" i="52"/>
  <c r="K7" i="52"/>
  <c r="G7" i="52"/>
  <c r="S32" i="4"/>
  <c r="R7" i="26"/>
  <c r="R7" i="29"/>
  <c r="L7" i="29"/>
  <c r="H7" i="29"/>
  <c r="S36" i="4"/>
  <c r="R7" i="31"/>
  <c r="L7" i="31"/>
  <c r="H7" i="31"/>
  <c r="P7" i="54"/>
  <c r="J7" i="54"/>
  <c r="F7" i="54"/>
  <c r="S7" i="63"/>
  <c r="S73" i="4"/>
  <c r="Q7" i="36"/>
  <c r="K7" i="36"/>
  <c r="G7" i="36"/>
  <c r="S69" i="4"/>
  <c r="S71" i="4"/>
  <c r="P7" i="30"/>
  <c r="J7" i="30"/>
  <c r="F7" i="30"/>
  <c r="P7" i="32"/>
  <c r="F7" i="32"/>
  <c r="R7" i="45"/>
  <c r="L7" i="45"/>
  <c r="H7" i="45"/>
  <c r="S53" i="4"/>
  <c r="R7" i="46"/>
  <c r="L7" i="46"/>
  <c r="H7" i="46"/>
  <c r="S54" i="4"/>
  <c r="R7" i="48"/>
  <c r="L7" i="48"/>
  <c r="H7" i="48"/>
  <c r="S56" i="4"/>
  <c r="R7" i="49"/>
  <c r="L7" i="49"/>
  <c r="H7" i="49"/>
  <c r="S58" i="4"/>
  <c r="R7" i="51"/>
  <c r="L7" i="51"/>
  <c r="H7" i="51"/>
  <c r="S60" i="4"/>
  <c r="S61" i="4"/>
  <c r="S67" i="4"/>
  <c r="S6" i="57"/>
  <c r="S6" i="44"/>
  <c r="S6" i="43"/>
  <c r="S6" i="38"/>
  <c r="E7" i="35"/>
  <c r="S6" i="32"/>
  <c r="G7" i="26"/>
  <c r="K7" i="26"/>
  <c r="Q7" i="26"/>
  <c r="E5" i="23"/>
  <c r="E7" i="23" s="1"/>
  <c r="F5" i="23"/>
  <c r="G5" i="23"/>
  <c r="H5" i="23"/>
  <c r="I5" i="23"/>
  <c r="J5" i="23"/>
  <c r="K5" i="23"/>
  <c r="L5" i="23"/>
  <c r="N5" i="23"/>
  <c r="P5" i="23"/>
  <c r="Q5" i="23"/>
  <c r="R5" i="23"/>
  <c r="C9" i="23"/>
  <c r="C8" i="23"/>
  <c r="E5" i="22"/>
  <c r="F5" i="22"/>
  <c r="G5" i="22"/>
  <c r="H5" i="22"/>
  <c r="I5" i="22"/>
  <c r="J5" i="22"/>
  <c r="K5" i="22"/>
  <c r="L5" i="22"/>
  <c r="N5" i="22"/>
  <c r="P5" i="22"/>
  <c r="Q5" i="22"/>
  <c r="Q7" i="22" s="1"/>
  <c r="R5" i="22"/>
  <c r="C9" i="22"/>
  <c r="C8" i="22"/>
  <c r="E5" i="21"/>
  <c r="E7" i="21" s="1"/>
  <c r="F5" i="21"/>
  <c r="G5" i="21"/>
  <c r="H5" i="21"/>
  <c r="I5" i="21"/>
  <c r="I7" i="21" s="1"/>
  <c r="J5" i="21"/>
  <c r="K5" i="21"/>
  <c r="L5" i="21"/>
  <c r="N5" i="21"/>
  <c r="P5" i="21"/>
  <c r="Q5" i="21"/>
  <c r="R5" i="21"/>
  <c r="C9" i="21"/>
  <c r="C8" i="21"/>
  <c r="E5" i="20"/>
  <c r="F5" i="20"/>
  <c r="G5" i="20"/>
  <c r="H5" i="20"/>
  <c r="I5" i="20"/>
  <c r="J5" i="20"/>
  <c r="K5" i="20"/>
  <c r="L5" i="20"/>
  <c r="N5" i="20"/>
  <c r="P5" i="20"/>
  <c r="Q5" i="20"/>
  <c r="R5" i="20"/>
  <c r="C9" i="20"/>
  <c r="C8" i="20"/>
  <c r="E5" i="19"/>
  <c r="F5" i="19"/>
  <c r="G5" i="19"/>
  <c r="H5" i="19"/>
  <c r="I5" i="19"/>
  <c r="J5" i="19"/>
  <c r="K5" i="19"/>
  <c r="L5" i="19"/>
  <c r="N5" i="19"/>
  <c r="P5" i="19"/>
  <c r="Q5" i="19"/>
  <c r="R5" i="19"/>
  <c r="E5" i="18"/>
  <c r="F5" i="18"/>
  <c r="G5" i="18"/>
  <c r="H5" i="18"/>
  <c r="I5" i="18"/>
  <c r="J5" i="18"/>
  <c r="K5" i="18"/>
  <c r="L5" i="18"/>
  <c r="N5" i="18"/>
  <c r="P5" i="18"/>
  <c r="Q5" i="18"/>
  <c r="R5" i="18"/>
  <c r="C9" i="19"/>
  <c r="C8" i="19"/>
  <c r="C9" i="18"/>
  <c r="C8" i="18"/>
  <c r="E5" i="17"/>
  <c r="F5" i="17"/>
  <c r="G5" i="17"/>
  <c r="H5" i="17"/>
  <c r="I5" i="17"/>
  <c r="I7" i="17" s="1"/>
  <c r="J5" i="17"/>
  <c r="K5" i="17"/>
  <c r="L5" i="17"/>
  <c r="N5" i="17"/>
  <c r="N7" i="17" s="1"/>
  <c r="P5" i="17"/>
  <c r="Q5" i="17"/>
  <c r="R5" i="17"/>
  <c r="C9" i="17"/>
  <c r="C8" i="17"/>
  <c r="E5" i="16"/>
  <c r="F5" i="16"/>
  <c r="G5" i="16"/>
  <c r="H5" i="16"/>
  <c r="I5" i="16"/>
  <c r="J5" i="16"/>
  <c r="K5" i="16"/>
  <c r="L5" i="16"/>
  <c r="N5" i="16"/>
  <c r="P5" i="16"/>
  <c r="Q5" i="16"/>
  <c r="R5" i="16"/>
  <c r="C9" i="16"/>
  <c r="C8" i="16"/>
  <c r="E5" i="15"/>
  <c r="F5" i="15"/>
  <c r="G5" i="15"/>
  <c r="H5" i="15"/>
  <c r="I5" i="15"/>
  <c r="J5" i="15"/>
  <c r="K5" i="15"/>
  <c r="L5" i="15"/>
  <c r="N5" i="15"/>
  <c r="P5" i="15"/>
  <c r="Q5" i="15"/>
  <c r="R5" i="15"/>
  <c r="C9" i="15"/>
  <c r="C8" i="15"/>
  <c r="E5" i="14"/>
  <c r="F5" i="14"/>
  <c r="G5" i="14"/>
  <c r="H5" i="14"/>
  <c r="I5" i="14"/>
  <c r="J5" i="14"/>
  <c r="K5" i="14"/>
  <c r="K7" i="14" s="1"/>
  <c r="L5" i="14"/>
  <c r="N5" i="14"/>
  <c r="P5" i="14"/>
  <c r="Q5" i="14"/>
  <c r="Q7" i="14" s="1"/>
  <c r="R5" i="14"/>
  <c r="C9" i="14"/>
  <c r="C8" i="14"/>
  <c r="E5" i="13"/>
  <c r="F5" i="13"/>
  <c r="G5" i="13"/>
  <c r="H5" i="13"/>
  <c r="I5" i="13"/>
  <c r="J5" i="13"/>
  <c r="K5" i="13"/>
  <c r="L5" i="13"/>
  <c r="N5" i="13"/>
  <c r="N7" i="13" s="1"/>
  <c r="P5" i="13"/>
  <c r="Q5" i="13"/>
  <c r="R5" i="13"/>
  <c r="C9" i="13"/>
  <c r="C8" i="13"/>
  <c r="S45" i="23"/>
  <c r="S44" i="23"/>
  <c r="S43" i="23"/>
  <c r="S42" i="23"/>
  <c r="S41" i="23"/>
  <c r="S40" i="23"/>
  <c r="S39" i="23"/>
  <c r="S38" i="23"/>
  <c r="S37" i="23"/>
  <c r="S36" i="23"/>
  <c r="S35" i="23"/>
  <c r="S34" i="23"/>
  <c r="S33" i="23"/>
  <c r="S32" i="23"/>
  <c r="S31" i="23"/>
  <c r="S30" i="23"/>
  <c r="S29" i="23"/>
  <c r="S28" i="23"/>
  <c r="S27" i="23"/>
  <c r="S26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6" i="23" s="1"/>
  <c r="R6" i="23"/>
  <c r="Q6" i="23"/>
  <c r="P6" i="23"/>
  <c r="N6" i="23"/>
  <c r="N7" i="23" s="1"/>
  <c r="L6" i="23"/>
  <c r="L7" i="23" s="1"/>
  <c r="K6" i="23"/>
  <c r="K7" i="23" s="1"/>
  <c r="J6" i="23"/>
  <c r="I6" i="23"/>
  <c r="H6" i="23"/>
  <c r="H7" i="23" s="1"/>
  <c r="G6" i="23"/>
  <c r="G7" i="23" s="1"/>
  <c r="F6" i="23"/>
  <c r="E6" i="23"/>
  <c r="R7" i="23"/>
  <c r="Q7" i="23"/>
  <c r="I7" i="23"/>
  <c r="E2" i="23"/>
  <c r="S45" i="22"/>
  <c r="S44" i="22"/>
  <c r="S43" i="22"/>
  <c r="S42" i="22"/>
  <c r="S41" i="22"/>
  <c r="S40" i="22"/>
  <c r="S39" i="22"/>
  <c r="S38" i="22"/>
  <c r="S37" i="22"/>
  <c r="S36" i="22"/>
  <c r="S35" i="22"/>
  <c r="S34" i="22"/>
  <c r="S33" i="22"/>
  <c r="S32" i="22"/>
  <c r="S31" i="22"/>
  <c r="S30" i="22"/>
  <c r="S29" i="22"/>
  <c r="S28" i="22"/>
  <c r="S27" i="22"/>
  <c r="S26" i="22"/>
  <c r="S25" i="22"/>
  <c r="S24" i="22"/>
  <c r="S23" i="22"/>
  <c r="S22" i="22"/>
  <c r="S21" i="22"/>
  <c r="S20" i="22"/>
  <c r="S19" i="22"/>
  <c r="S18" i="22"/>
  <c r="S17" i="22"/>
  <c r="S16" i="22"/>
  <c r="S15" i="22"/>
  <c r="S14" i="22"/>
  <c r="S13" i="22"/>
  <c r="S12" i="22"/>
  <c r="S11" i="22"/>
  <c r="R6" i="22"/>
  <c r="Q6" i="22"/>
  <c r="P6" i="22"/>
  <c r="N6" i="22"/>
  <c r="L6" i="22"/>
  <c r="L7" i="22" s="1"/>
  <c r="K6" i="22"/>
  <c r="J6" i="22"/>
  <c r="J7" i="22" s="1"/>
  <c r="I6" i="22"/>
  <c r="H6" i="22"/>
  <c r="H7" i="22" s="1"/>
  <c r="G6" i="22"/>
  <c r="F6" i="22"/>
  <c r="F7" i="22" s="1"/>
  <c r="E6" i="22"/>
  <c r="R7" i="22"/>
  <c r="P7" i="22"/>
  <c r="E2" i="22"/>
  <c r="S45" i="21"/>
  <c r="S44" i="21"/>
  <c r="S43" i="21"/>
  <c r="S42" i="21"/>
  <c r="S41" i="21"/>
  <c r="S40" i="21"/>
  <c r="S39" i="21"/>
  <c r="S38" i="21"/>
  <c r="S37" i="21"/>
  <c r="S36" i="21"/>
  <c r="S35" i="21"/>
  <c r="S34" i="21"/>
  <c r="S33" i="21"/>
  <c r="S32" i="21"/>
  <c r="S31" i="21"/>
  <c r="S30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R6" i="21"/>
  <c r="Q6" i="21"/>
  <c r="P6" i="21"/>
  <c r="N6" i="21"/>
  <c r="L6" i="21"/>
  <c r="K6" i="21"/>
  <c r="J6" i="21"/>
  <c r="I6" i="21"/>
  <c r="H6" i="21"/>
  <c r="G6" i="21"/>
  <c r="F6" i="21"/>
  <c r="F7" i="21" s="1"/>
  <c r="E6" i="21"/>
  <c r="R7" i="21"/>
  <c r="L7" i="21"/>
  <c r="H7" i="21"/>
  <c r="E2" i="21"/>
  <c r="S45" i="20"/>
  <c r="S44" i="20"/>
  <c r="S43" i="20"/>
  <c r="S42" i="20"/>
  <c r="S41" i="20"/>
  <c r="S40" i="20"/>
  <c r="S39" i="20"/>
  <c r="S38" i="20"/>
  <c r="S37" i="20"/>
  <c r="S36" i="20"/>
  <c r="S35" i="20"/>
  <c r="S34" i="20"/>
  <c r="S33" i="20"/>
  <c r="S32" i="20"/>
  <c r="S31" i="20"/>
  <c r="S30" i="20"/>
  <c r="S29" i="20"/>
  <c r="S28" i="20"/>
  <c r="S27" i="20"/>
  <c r="S26" i="20"/>
  <c r="S25" i="20"/>
  <c r="S24" i="20"/>
  <c r="S23" i="20"/>
  <c r="S22" i="20"/>
  <c r="S21" i="20"/>
  <c r="S20" i="20"/>
  <c r="S19" i="20"/>
  <c r="S18" i="20"/>
  <c r="S17" i="20"/>
  <c r="S16" i="20"/>
  <c r="S15" i="20"/>
  <c r="S14" i="20"/>
  <c r="S13" i="20"/>
  <c r="S12" i="20"/>
  <c r="S11" i="20"/>
  <c r="R6" i="20"/>
  <c r="Q6" i="20"/>
  <c r="P6" i="20"/>
  <c r="N6" i="20"/>
  <c r="L6" i="20"/>
  <c r="K6" i="20"/>
  <c r="J6" i="20"/>
  <c r="J7" i="20" s="1"/>
  <c r="I6" i="20"/>
  <c r="H6" i="20"/>
  <c r="G6" i="20"/>
  <c r="F6" i="20"/>
  <c r="E6" i="20"/>
  <c r="P7" i="20"/>
  <c r="F7" i="20"/>
  <c r="E2" i="20"/>
  <c r="S45" i="19"/>
  <c r="S44" i="19"/>
  <c r="S43" i="19"/>
  <c r="S42" i="19"/>
  <c r="S41" i="19"/>
  <c r="S40" i="19"/>
  <c r="S39" i="19"/>
  <c r="S38" i="19"/>
  <c r="S37" i="19"/>
  <c r="S36" i="19"/>
  <c r="S35" i="19"/>
  <c r="S34" i="19"/>
  <c r="S33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R6" i="19"/>
  <c r="Q6" i="19"/>
  <c r="P6" i="19"/>
  <c r="N6" i="19"/>
  <c r="L6" i="19"/>
  <c r="L7" i="19" s="1"/>
  <c r="K6" i="19"/>
  <c r="J6" i="19"/>
  <c r="I6" i="19"/>
  <c r="H6" i="19"/>
  <c r="H7" i="19" s="1"/>
  <c r="G6" i="19"/>
  <c r="F6" i="19"/>
  <c r="E6" i="19"/>
  <c r="R7" i="19"/>
  <c r="J7" i="19"/>
  <c r="E2" i="19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6" i="18" s="1"/>
  <c r="R6" i="18"/>
  <c r="R7" i="18" s="1"/>
  <c r="Q6" i="18"/>
  <c r="P6" i="18"/>
  <c r="P7" i="18" s="1"/>
  <c r="N6" i="18"/>
  <c r="L6" i="18"/>
  <c r="L7" i="18" s="1"/>
  <c r="K6" i="18"/>
  <c r="K7" i="18" s="1"/>
  <c r="J6" i="18"/>
  <c r="I6" i="18"/>
  <c r="I7" i="18" s="1"/>
  <c r="H6" i="18"/>
  <c r="H7" i="18" s="1"/>
  <c r="G6" i="18"/>
  <c r="F6" i="18"/>
  <c r="F7" i="18" s="1"/>
  <c r="E6" i="18"/>
  <c r="E7" i="18" s="1"/>
  <c r="E2" i="18"/>
  <c r="S45" i="17"/>
  <c r="S44" i="17"/>
  <c r="S43" i="17"/>
  <c r="S42" i="17"/>
  <c r="S41" i="17"/>
  <c r="S40" i="17"/>
  <c r="S39" i="17"/>
  <c r="S38" i="17"/>
  <c r="S37" i="17"/>
  <c r="S36" i="17"/>
  <c r="S35" i="17"/>
  <c r="S34" i="17"/>
  <c r="S33" i="17"/>
  <c r="S32" i="17"/>
  <c r="S31" i="17"/>
  <c r="S30" i="17"/>
  <c r="S29" i="17"/>
  <c r="S28" i="17"/>
  <c r="S27" i="17"/>
  <c r="S26" i="17"/>
  <c r="S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R6" i="17"/>
  <c r="Q6" i="17"/>
  <c r="Q7" i="17" s="1"/>
  <c r="P6" i="17"/>
  <c r="N6" i="17"/>
  <c r="L6" i="17"/>
  <c r="K6" i="17"/>
  <c r="K7" i="17" s="1"/>
  <c r="J6" i="17"/>
  <c r="I6" i="17"/>
  <c r="H6" i="17"/>
  <c r="G6" i="17"/>
  <c r="G7" i="17" s="1"/>
  <c r="F6" i="17"/>
  <c r="E6" i="17"/>
  <c r="E2" i="17"/>
  <c r="S45" i="16"/>
  <c r="S44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R6" i="16"/>
  <c r="Q6" i="16"/>
  <c r="P6" i="16"/>
  <c r="P7" i="16" s="1"/>
  <c r="N6" i="16"/>
  <c r="L6" i="16"/>
  <c r="K6" i="16"/>
  <c r="J6" i="16"/>
  <c r="J7" i="16" s="1"/>
  <c r="I6" i="16"/>
  <c r="H6" i="16"/>
  <c r="G6" i="16"/>
  <c r="F6" i="16"/>
  <c r="E6" i="16"/>
  <c r="F7" i="16"/>
  <c r="E2" i="16"/>
  <c r="S45" i="15"/>
  <c r="S44" i="15"/>
  <c r="S43" i="15"/>
  <c r="S42" i="15"/>
  <c r="S41" i="15"/>
  <c r="S40" i="15"/>
  <c r="S39" i="15"/>
  <c r="S38" i="15"/>
  <c r="S37" i="15"/>
  <c r="S36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R6" i="15"/>
  <c r="Q6" i="15"/>
  <c r="P6" i="15"/>
  <c r="N6" i="15"/>
  <c r="N7" i="15" s="1"/>
  <c r="L6" i="15"/>
  <c r="L7" i="15" s="1"/>
  <c r="K6" i="15"/>
  <c r="J6" i="15"/>
  <c r="I6" i="15"/>
  <c r="I7" i="15" s="1"/>
  <c r="H6" i="15"/>
  <c r="H7" i="15" s="1"/>
  <c r="G6" i="15"/>
  <c r="F6" i="15"/>
  <c r="E6" i="15"/>
  <c r="E7" i="15" s="1"/>
  <c r="R7" i="15"/>
  <c r="K7" i="15"/>
  <c r="E2" i="15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R6" i="14"/>
  <c r="Q6" i="14"/>
  <c r="P6" i="14"/>
  <c r="N6" i="14"/>
  <c r="L6" i="14"/>
  <c r="K6" i="14"/>
  <c r="J6" i="14"/>
  <c r="I6" i="14"/>
  <c r="H6" i="14"/>
  <c r="G6" i="14"/>
  <c r="F6" i="14"/>
  <c r="E6" i="14"/>
  <c r="P7" i="14"/>
  <c r="J7" i="14"/>
  <c r="H7" i="14"/>
  <c r="G7" i="14"/>
  <c r="F7" i="14"/>
  <c r="E2" i="14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R6" i="13"/>
  <c r="Q6" i="13"/>
  <c r="Q7" i="13" s="1"/>
  <c r="P6" i="13"/>
  <c r="N6" i="13"/>
  <c r="L6" i="13"/>
  <c r="K6" i="13"/>
  <c r="J6" i="13"/>
  <c r="I6" i="13"/>
  <c r="H6" i="13"/>
  <c r="G6" i="13"/>
  <c r="G7" i="13" s="1"/>
  <c r="F6" i="13"/>
  <c r="E6" i="13"/>
  <c r="I7" i="13"/>
  <c r="E2" i="13"/>
  <c r="E5" i="12"/>
  <c r="F5" i="12"/>
  <c r="G5" i="12"/>
  <c r="H5" i="12"/>
  <c r="I5" i="12"/>
  <c r="J5" i="12"/>
  <c r="K5" i="12"/>
  <c r="L5" i="12"/>
  <c r="N5" i="12"/>
  <c r="P5" i="12"/>
  <c r="Q5" i="12"/>
  <c r="R5" i="12"/>
  <c r="C9" i="12"/>
  <c r="C8" i="12"/>
  <c r="S6" i="20" l="1"/>
  <c r="G7" i="22"/>
  <c r="K7" i="22"/>
  <c r="E7" i="19"/>
  <c r="I7" i="19"/>
  <c r="N7" i="19"/>
  <c r="S6" i="19"/>
  <c r="N7" i="21"/>
  <c r="S6" i="21"/>
  <c r="S6" i="14"/>
  <c r="S20" i="4" s="1"/>
  <c r="E7" i="13"/>
  <c r="G7" i="16"/>
  <c r="K7" i="16"/>
  <c r="Q7" i="16"/>
  <c r="E7" i="17"/>
  <c r="S6" i="17"/>
  <c r="S23" i="4" s="1"/>
  <c r="S6" i="22"/>
  <c r="S28" i="4" s="1"/>
  <c r="P7" i="23"/>
  <c r="J7" i="23"/>
  <c r="K7" i="13"/>
  <c r="Q7" i="15"/>
  <c r="G7" i="15"/>
  <c r="I7" i="16"/>
  <c r="Q7" i="21"/>
  <c r="K7" i="21"/>
  <c r="G7" i="21"/>
  <c r="R7" i="14"/>
  <c r="L7" i="14"/>
  <c r="R7" i="16"/>
  <c r="P7" i="17"/>
  <c r="J7" i="17"/>
  <c r="F7" i="17"/>
  <c r="J7" i="18"/>
  <c r="P7" i="19"/>
  <c r="F7" i="19"/>
  <c r="R7" i="20"/>
  <c r="P7" i="21"/>
  <c r="J7" i="21"/>
  <c r="F7" i="23"/>
  <c r="F7" i="13"/>
  <c r="J7" i="13"/>
  <c r="P7" i="13"/>
  <c r="H7" i="16"/>
  <c r="L7" i="16"/>
  <c r="H7" i="20"/>
  <c r="L7" i="20"/>
  <c r="G7" i="18"/>
  <c r="E7" i="16"/>
  <c r="N7" i="16"/>
  <c r="E7" i="20"/>
  <c r="I7" i="20"/>
  <c r="N7" i="20"/>
  <c r="E7" i="14"/>
  <c r="I7" i="14"/>
  <c r="N7" i="14"/>
  <c r="S6" i="16"/>
  <c r="S22" i="4" s="1"/>
  <c r="S6" i="15"/>
  <c r="N7" i="18"/>
  <c r="S6" i="13"/>
  <c r="S19" i="4" s="1"/>
  <c r="E7" i="22"/>
  <c r="Q7" i="18"/>
  <c r="S25" i="4"/>
  <c r="S26" i="4"/>
  <c r="S27" i="4"/>
  <c r="S29" i="4"/>
  <c r="S39" i="4"/>
  <c r="S51" i="4"/>
  <c r="R7" i="13"/>
  <c r="L7" i="13"/>
  <c r="H7" i="13"/>
  <c r="S24" i="4"/>
  <c r="Q7" i="19"/>
  <c r="K7" i="19"/>
  <c r="G7" i="19"/>
  <c r="Q7" i="20"/>
  <c r="K7" i="20"/>
  <c r="G7" i="20"/>
  <c r="S52" i="4"/>
  <c r="S66" i="4"/>
  <c r="P7" i="15"/>
  <c r="J7" i="15"/>
  <c r="F7" i="15"/>
  <c r="R7" i="17"/>
  <c r="L7" i="17"/>
  <c r="H7" i="17"/>
  <c r="N7" i="22"/>
  <c r="I7" i="22"/>
  <c r="S46" i="4"/>
  <c r="S21" i="4"/>
  <c r="E5" i="11"/>
  <c r="F5" i="11"/>
  <c r="G5" i="11"/>
  <c r="H5" i="11"/>
  <c r="I5" i="11"/>
  <c r="J5" i="11"/>
  <c r="K5" i="11"/>
  <c r="L5" i="11"/>
  <c r="N5" i="11"/>
  <c r="P5" i="11"/>
  <c r="Q5" i="11"/>
  <c r="R5" i="11"/>
  <c r="C9" i="11"/>
  <c r="C8" i="11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R6" i="12"/>
  <c r="Q6" i="12"/>
  <c r="P6" i="12"/>
  <c r="N6" i="12"/>
  <c r="L6" i="12"/>
  <c r="K6" i="12"/>
  <c r="J6" i="12"/>
  <c r="I6" i="12"/>
  <c r="H6" i="12"/>
  <c r="G6" i="12"/>
  <c r="F6" i="12"/>
  <c r="E6" i="12"/>
  <c r="R7" i="12"/>
  <c r="Q7" i="12"/>
  <c r="P7" i="12"/>
  <c r="N7" i="12"/>
  <c r="L7" i="12"/>
  <c r="K7" i="12"/>
  <c r="J7" i="12"/>
  <c r="I7" i="12"/>
  <c r="H7" i="12"/>
  <c r="G7" i="12"/>
  <c r="F7" i="12"/>
  <c r="E7" i="12"/>
  <c r="E2" i="12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R6" i="11"/>
  <c r="Q6" i="11"/>
  <c r="P6" i="11"/>
  <c r="N6" i="11"/>
  <c r="N7" i="11" s="1"/>
  <c r="L6" i="11"/>
  <c r="K6" i="11"/>
  <c r="J6" i="11"/>
  <c r="I6" i="11"/>
  <c r="I7" i="11" s="1"/>
  <c r="H6" i="11"/>
  <c r="G6" i="11"/>
  <c r="F6" i="11"/>
  <c r="E6" i="11"/>
  <c r="E2" i="11"/>
  <c r="E5" i="10"/>
  <c r="F5" i="10"/>
  <c r="G5" i="10"/>
  <c r="H5" i="10"/>
  <c r="I5" i="10"/>
  <c r="J5" i="10"/>
  <c r="K5" i="10"/>
  <c r="L5" i="10"/>
  <c r="N5" i="10"/>
  <c r="P5" i="10"/>
  <c r="Q5" i="10"/>
  <c r="R5" i="10"/>
  <c r="C9" i="10"/>
  <c r="C8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6" i="10" s="1"/>
  <c r="S12" i="10"/>
  <c r="S11" i="10"/>
  <c r="R6" i="10"/>
  <c r="Q6" i="10"/>
  <c r="P6" i="10"/>
  <c r="N6" i="10"/>
  <c r="L6" i="10"/>
  <c r="K6" i="10"/>
  <c r="J6" i="10"/>
  <c r="I6" i="10"/>
  <c r="I7" i="10" s="1"/>
  <c r="H6" i="10"/>
  <c r="G6" i="10"/>
  <c r="F6" i="10"/>
  <c r="E6" i="10"/>
  <c r="E7" i="10" s="1"/>
  <c r="E2" i="10"/>
  <c r="G7" i="11" l="1"/>
  <c r="N7" i="10"/>
  <c r="Q7" i="11"/>
  <c r="L7" i="10"/>
  <c r="K7" i="11"/>
  <c r="G7" i="10"/>
  <c r="F7" i="11"/>
  <c r="P7" i="11"/>
  <c r="J7" i="10"/>
  <c r="H7" i="11"/>
  <c r="S6" i="11"/>
  <c r="S17" i="4" s="1"/>
  <c r="E7" i="11"/>
  <c r="P7" i="10"/>
  <c r="S6" i="12"/>
  <c r="K7" i="10"/>
  <c r="H7" i="10"/>
  <c r="J7" i="11"/>
  <c r="R7" i="10"/>
  <c r="Q7" i="10"/>
  <c r="F7" i="10"/>
  <c r="R7" i="11"/>
  <c r="S18" i="4"/>
  <c r="L7" i="11"/>
  <c r="S16" i="4"/>
  <c r="H1" i="3"/>
  <c r="E2" i="9"/>
  <c r="E2" i="8"/>
  <c r="E2" i="7"/>
  <c r="E2" i="6"/>
  <c r="E2" i="5"/>
  <c r="E5" i="9"/>
  <c r="F5" i="9"/>
  <c r="G5" i="9"/>
  <c r="H5" i="9"/>
  <c r="I5" i="9"/>
  <c r="J5" i="9"/>
  <c r="K5" i="9"/>
  <c r="L5" i="9"/>
  <c r="N5" i="9"/>
  <c r="P5" i="9"/>
  <c r="Q5" i="9"/>
  <c r="R5" i="9"/>
  <c r="E5" i="8"/>
  <c r="F5" i="8"/>
  <c r="G5" i="8"/>
  <c r="H5" i="8"/>
  <c r="I5" i="8"/>
  <c r="J5" i="8"/>
  <c r="K5" i="8"/>
  <c r="L5" i="8"/>
  <c r="N5" i="8"/>
  <c r="P5" i="8"/>
  <c r="Q5" i="8"/>
  <c r="R5" i="8"/>
  <c r="C9" i="9"/>
  <c r="C8" i="9"/>
  <c r="C9" i="8"/>
  <c r="C8" i="8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R6" i="9"/>
  <c r="Q6" i="9"/>
  <c r="P6" i="9"/>
  <c r="N6" i="9"/>
  <c r="L6" i="9"/>
  <c r="K6" i="9"/>
  <c r="J6" i="9"/>
  <c r="I6" i="9"/>
  <c r="H6" i="9"/>
  <c r="G6" i="9"/>
  <c r="F6" i="9"/>
  <c r="E6" i="9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R6" i="8"/>
  <c r="Q6" i="8"/>
  <c r="P6" i="8"/>
  <c r="N6" i="8"/>
  <c r="L6" i="8"/>
  <c r="K6" i="8"/>
  <c r="J6" i="8"/>
  <c r="I6" i="8"/>
  <c r="H6" i="8"/>
  <c r="G6" i="8"/>
  <c r="F6" i="8"/>
  <c r="E6" i="8"/>
  <c r="E5" i="7"/>
  <c r="F5" i="7"/>
  <c r="G5" i="7"/>
  <c r="H5" i="7"/>
  <c r="I5" i="7"/>
  <c r="J5" i="7"/>
  <c r="K5" i="7"/>
  <c r="L5" i="7"/>
  <c r="N5" i="7"/>
  <c r="P5" i="7"/>
  <c r="Q5" i="7"/>
  <c r="R5" i="7"/>
  <c r="C9" i="7"/>
  <c r="C8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R6" i="7"/>
  <c r="Q6" i="7"/>
  <c r="P6" i="7"/>
  <c r="N6" i="7"/>
  <c r="L6" i="7"/>
  <c r="K6" i="7"/>
  <c r="J6" i="7"/>
  <c r="I6" i="7"/>
  <c r="I7" i="7" s="1"/>
  <c r="H6" i="7"/>
  <c r="G6" i="7"/>
  <c r="F6" i="7"/>
  <c r="E6" i="7"/>
  <c r="C8" i="6"/>
  <c r="C9" i="6"/>
  <c r="T73" i="4"/>
  <c r="U73" i="4"/>
  <c r="E5" i="6"/>
  <c r="F5" i="6"/>
  <c r="G5" i="6"/>
  <c r="H5" i="6"/>
  <c r="I5" i="6"/>
  <c r="J5" i="6"/>
  <c r="K5" i="6"/>
  <c r="L5" i="6"/>
  <c r="N5" i="6"/>
  <c r="P5" i="6"/>
  <c r="Q5" i="6"/>
  <c r="R5" i="6"/>
  <c r="E5" i="5"/>
  <c r="F5" i="5"/>
  <c r="G5" i="5"/>
  <c r="H5" i="5"/>
  <c r="I5" i="5"/>
  <c r="J5" i="5"/>
  <c r="K5" i="5"/>
  <c r="L5" i="5"/>
  <c r="N5" i="5"/>
  <c r="P5" i="5"/>
  <c r="Q5" i="5"/>
  <c r="R5" i="5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R6" i="6"/>
  <c r="Q6" i="6"/>
  <c r="P6" i="6"/>
  <c r="P7" i="6" s="1"/>
  <c r="N6" i="6"/>
  <c r="L6" i="6"/>
  <c r="K6" i="6"/>
  <c r="J6" i="6"/>
  <c r="J7" i="6" s="1"/>
  <c r="I6" i="6"/>
  <c r="H6" i="6"/>
  <c r="G6" i="6"/>
  <c r="F6" i="6"/>
  <c r="F7" i="6" s="1"/>
  <c r="E6" i="6"/>
  <c r="R7" i="6"/>
  <c r="Q7" i="6" l="1"/>
  <c r="R7" i="7"/>
  <c r="S6" i="9"/>
  <c r="S14" i="4" s="1"/>
  <c r="J7" i="8"/>
  <c r="P7" i="9"/>
  <c r="F7" i="9"/>
  <c r="L7" i="6"/>
  <c r="H7" i="6"/>
  <c r="N7" i="7"/>
  <c r="E7" i="9"/>
  <c r="G7" i="8"/>
  <c r="K7" i="9"/>
  <c r="I7" i="9"/>
  <c r="N7" i="9"/>
  <c r="N7" i="8"/>
  <c r="Q7" i="8"/>
  <c r="G7" i="9"/>
  <c r="Q7" i="9"/>
  <c r="F7" i="8"/>
  <c r="P7" i="8"/>
  <c r="G7" i="6"/>
  <c r="L7" i="7"/>
  <c r="H7" i="7"/>
  <c r="K7" i="6"/>
  <c r="K7" i="8"/>
  <c r="R7" i="9"/>
  <c r="L7" i="9"/>
  <c r="H7" i="9"/>
  <c r="P7" i="7"/>
  <c r="N7" i="6"/>
  <c r="I7" i="6"/>
  <c r="S6" i="7"/>
  <c r="S12" i="4" s="1"/>
  <c r="I7" i="8"/>
  <c r="J7" i="9"/>
  <c r="R7" i="8"/>
  <c r="L7" i="8"/>
  <c r="H7" i="8"/>
  <c r="J7" i="7"/>
  <c r="F7" i="7"/>
  <c r="E7" i="8"/>
  <c r="S6" i="8"/>
  <c r="S13" i="4" s="1"/>
  <c r="E7" i="7"/>
  <c r="G7" i="7"/>
  <c r="K7" i="7"/>
  <c r="Q7" i="7"/>
  <c r="E7" i="6"/>
  <c r="S6" i="6"/>
  <c r="S11" i="4" s="1"/>
  <c r="C9" i="5"/>
  <c r="C8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R6" i="5"/>
  <c r="Q6" i="5"/>
  <c r="P6" i="5"/>
  <c r="P7" i="5" s="1"/>
  <c r="N6" i="5"/>
  <c r="N7" i="5" s="1"/>
  <c r="L6" i="5"/>
  <c r="L7" i="5" s="1"/>
  <c r="K6" i="5"/>
  <c r="J6" i="5"/>
  <c r="J7" i="5" s="1"/>
  <c r="I6" i="5"/>
  <c r="I7" i="5" s="1"/>
  <c r="H6" i="5"/>
  <c r="H7" i="5" s="1"/>
  <c r="G6" i="5"/>
  <c r="G7" i="5" s="1"/>
  <c r="F6" i="5"/>
  <c r="F7" i="5" s="1"/>
  <c r="E6" i="5"/>
  <c r="E7" i="5" s="1"/>
  <c r="R7" i="5"/>
  <c r="Q7" i="5"/>
  <c r="K7" i="5"/>
  <c r="R11" i="4"/>
  <c r="S5" i="6" s="1"/>
  <c r="R12" i="4"/>
  <c r="S5" i="7" s="1"/>
  <c r="R13" i="4"/>
  <c r="S5" i="8" s="1"/>
  <c r="R14" i="4"/>
  <c r="S5" i="9" s="1"/>
  <c r="S7" i="9" s="1"/>
  <c r="R16" i="4"/>
  <c r="S5" i="10" s="1"/>
  <c r="S7" i="10" s="1"/>
  <c r="R17" i="4"/>
  <c r="S5" i="11" s="1"/>
  <c r="S7" i="11" s="1"/>
  <c r="R18" i="4"/>
  <c r="S5" i="12" s="1"/>
  <c r="S7" i="12" s="1"/>
  <c r="R19" i="4"/>
  <c r="S5" i="13" s="1"/>
  <c r="S7" i="13" s="1"/>
  <c r="R20" i="4"/>
  <c r="S5" i="14" s="1"/>
  <c r="S7" i="14" s="1"/>
  <c r="R21" i="4"/>
  <c r="S5" i="15" s="1"/>
  <c r="S7" i="15" s="1"/>
  <c r="R22" i="4"/>
  <c r="S5" i="16" s="1"/>
  <c r="S7" i="16" s="1"/>
  <c r="R23" i="4"/>
  <c r="S5" i="17" s="1"/>
  <c r="S7" i="17" s="1"/>
  <c r="R24" i="4"/>
  <c r="S5" i="18" s="1"/>
  <c r="S7" i="18" s="1"/>
  <c r="R25" i="4"/>
  <c r="S5" i="19" s="1"/>
  <c r="S7" i="19" s="1"/>
  <c r="R26" i="4"/>
  <c r="S5" i="20" s="1"/>
  <c r="S7" i="20" s="1"/>
  <c r="R27" i="4"/>
  <c r="S5" i="21" s="1"/>
  <c r="S7" i="21" s="1"/>
  <c r="R28" i="4"/>
  <c r="S5" i="22" s="1"/>
  <c r="S7" i="22" s="1"/>
  <c r="R29" i="4"/>
  <c r="S5" i="23" s="1"/>
  <c r="S7" i="23" s="1"/>
  <c r="R31" i="4"/>
  <c r="S5" i="24" s="1"/>
  <c r="S7" i="24" s="1"/>
  <c r="R32" i="4"/>
  <c r="S5" i="25" s="1"/>
  <c r="S7" i="25" s="1"/>
  <c r="R33" i="4"/>
  <c r="S5" i="26" s="1"/>
  <c r="S7" i="26" s="1"/>
  <c r="R34" i="4"/>
  <c r="S5" i="27" s="1"/>
  <c r="S7" i="27" s="1"/>
  <c r="R35" i="4"/>
  <c r="S5" i="28" s="1"/>
  <c r="S7" i="28" s="1"/>
  <c r="R36" i="4"/>
  <c r="S5" i="29" s="1"/>
  <c r="S7" i="29" s="1"/>
  <c r="R37" i="4"/>
  <c r="S5" i="30" s="1"/>
  <c r="S7" i="30" s="1"/>
  <c r="R38" i="4"/>
  <c r="S5" i="31" s="1"/>
  <c r="S7" i="31" s="1"/>
  <c r="R39" i="4"/>
  <c r="S5" i="32" s="1"/>
  <c r="S7" i="32" s="1"/>
  <c r="R40" i="4"/>
  <c r="S5" i="33" s="1"/>
  <c r="S7" i="33" s="1"/>
  <c r="R41" i="4"/>
  <c r="S5" i="34" s="1"/>
  <c r="S7" i="34" s="1"/>
  <c r="R42" i="4"/>
  <c r="S5" i="35" s="1"/>
  <c r="S7" i="35" s="1"/>
  <c r="R43" i="4"/>
  <c r="S5" i="36" s="1"/>
  <c r="S7" i="36" s="1"/>
  <c r="R44" i="4"/>
  <c r="S5" i="37" s="1"/>
  <c r="S7" i="37" s="1"/>
  <c r="R46" i="4"/>
  <c r="S5" i="38" s="1"/>
  <c r="S7" i="38" s="1"/>
  <c r="R47" i="4"/>
  <c r="S5" i="39" s="1"/>
  <c r="S7" i="39" s="1"/>
  <c r="R48" i="4"/>
  <c r="S5" i="40" s="1"/>
  <c r="S7" i="40" s="1"/>
  <c r="R49" i="4"/>
  <c r="S5" i="41" s="1"/>
  <c r="S7" i="41" s="1"/>
  <c r="R50" i="4"/>
  <c r="S5" i="42" s="1"/>
  <c r="S7" i="42" s="1"/>
  <c r="R51" i="4"/>
  <c r="S5" i="43" s="1"/>
  <c r="S7" i="43" s="1"/>
  <c r="R52" i="4"/>
  <c r="S5" i="44" s="1"/>
  <c r="S7" i="44" s="1"/>
  <c r="R53" i="4"/>
  <c r="S5" i="45" s="1"/>
  <c r="S7" i="45" s="1"/>
  <c r="R54" i="4"/>
  <c r="S5" i="46" s="1"/>
  <c r="S7" i="46" s="1"/>
  <c r="R55" i="4"/>
  <c r="S5" i="47" s="1"/>
  <c r="S7" i="47" s="1"/>
  <c r="R56" i="4"/>
  <c r="S5" i="48" s="1"/>
  <c r="S7" i="48" s="1"/>
  <c r="R57" i="4"/>
  <c r="S5" i="49" s="1"/>
  <c r="S7" i="49" s="1"/>
  <c r="R58" i="4"/>
  <c r="S5" i="50" s="1"/>
  <c r="S7" i="50" s="1"/>
  <c r="R59" i="4"/>
  <c r="S5" i="51" s="1"/>
  <c r="S7" i="51" s="1"/>
  <c r="R60" i="4"/>
  <c r="S5" i="52" s="1"/>
  <c r="S7" i="52" s="1"/>
  <c r="R61" i="4"/>
  <c r="S5" i="53" s="1"/>
  <c r="S7" i="53" s="1"/>
  <c r="R62" i="4"/>
  <c r="S5" i="54" s="1"/>
  <c r="S7" i="54" s="1"/>
  <c r="R64" i="4"/>
  <c r="S5" i="55" s="1"/>
  <c r="S7" i="55" s="1"/>
  <c r="R65" i="4"/>
  <c r="S5" i="56" s="1"/>
  <c r="S7" i="56" s="1"/>
  <c r="R66" i="4"/>
  <c r="S5" i="57" s="1"/>
  <c r="S7" i="57" s="1"/>
  <c r="R67" i="4"/>
  <c r="S5" i="58" s="1"/>
  <c r="S7" i="58" s="1"/>
  <c r="R68" i="4"/>
  <c r="S5" i="59" s="1"/>
  <c r="S7" i="59" s="1"/>
  <c r="R69" i="4"/>
  <c r="S5" i="60" s="1"/>
  <c r="S7" i="60" s="1"/>
  <c r="R70" i="4"/>
  <c r="S5" i="61" s="1"/>
  <c r="S7" i="61" s="1"/>
  <c r="R71" i="4"/>
  <c r="S5" i="62" s="1"/>
  <c r="S7" i="62" s="1"/>
  <c r="R74" i="4"/>
  <c r="S5" i="64" s="1"/>
  <c r="S7" i="64" s="1"/>
  <c r="R75" i="4"/>
  <c r="S5" i="65" s="1"/>
  <c r="S7" i="65" s="1"/>
  <c r="R76" i="4"/>
  <c r="S5" i="66" s="1"/>
  <c r="S7" i="66" s="1"/>
  <c r="R77" i="4"/>
  <c r="S5" i="67" s="1"/>
  <c r="S7" i="67" s="1"/>
  <c r="R78" i="4"/>
  <c r="S5" i="68" s="1"/>
  <c r="S7" i="68" s="1"/>
  <c r="R79" i="4"/>
  <c r="S5" i="69" s="1"/>
  <c r="S7" i="69" s="1"/>
  <c r="R80" i="4"/>
  <c r="S5" i="70" s="1"/>
  <c r="S7" i="70" s="1"/>
  <c r="R81" i="4"/>
  <c r="S5" i="71" s="1"/>
  <c r="S7" i="71" s="1"/>
  <c r="R82" i="4"/>
  <c r="S5" i="72" s="1"/>
  <c r="S7" i="72" s="1"/>
  <c r="R84" i="4"/>
  <c r="S5" i="73" s="1"/>
  <c r="S7" i="73" s="1"/>
  <c r="R85" i="4"/>
  <c r="S5" i="74" s="1"/>
  <c r="S7" i="74" s="1"/>
  <c r="R86" i="4"/>
  <c r="S5" i="75" s="1"/>
  <c r="S7" i="75" s="1"/>
  <c r="R87" i="4"/>
  <c r="S5" i="76" s="1"/>
  <c r="S7" i="76" s="1"/>
  <c r="R88" i="4"/>
  <c r="R90" i="4"/>
  <c r="S5" i="78" s="1"/>
  <c r="S7" i="78" s="1"/>
  <c r="R91" i="4"/>
  <c r="S5" i="79" s="1"/>
  <c r="S7" i="79" s="1"/>
  <c r="R92" i="4"/>
  <c r="S5" i="80" s="1"/>
  <c r="S7" i="80" s="1"/>
  <c r="R93" i="4"/>
  <c r="S5" i="81" s="1"/>
  <c r="S7" i="81" s="1"/>
  <c r="R94" i="4"/>
  <c r="S5" i="82" s="1"/>
  <c r="S7" i="82" s="1"/>
  <c r="R95" i="4"/>
  <c r="S5" i="83" s="1"/>
  <c r="S7" i="83" s="1"/>
  <c r="R96" i="4"/>
  <c r="S5" i="84" s="1"/>
  <c r="S7" i="84" s="1"/>
  <c r="R97" i="4"/>
  <c r="S5" i="85" s="1"/>
  <c r="S7" i="85" s="1"/>
  <c r="R98" i="4"/>
  <c r="R99" i="4"/>
  <c r="S5" i="87" s="1"/>
  <c r="S7" i="87" s="1"/>
  <c r="R101" i="4"/>
  <c r="S5" i="88" s="1"/>
  <c r="S7" i="88" s="1"/>
  <c r="R102" i="4"/>
  <c r="S5" i="89" s="1"/>
  <c r="S7" i="89" s="1"/>
  <c r="R103" i="4"/>
  <c r="S5" i="90" s="1"/>
  <c r="S7" i="90" s="1"/>
  <c r="R104" i="4"/>
  <c r="S5" i="91" s="1"/>
  <c r="S7" i="91" s="1"/>
  <c r="R105" i="4"/>
  <c r="S5" i="92" s="1"/>
  <c r="S7" i="92" s="1"/>
  <c r="R106" i="4"/>
  <c r="S5" i="93" s="1"/>
  <c r="S7" i="93" s="1"/>
  <c r="R107" i="4"/>
  <c r="S5" i="94" s="1"/>
  <c r="S7" i="94" s="1"/>
  <c r="R108" i="4"/>
  <c r="S5" i="95" s="1"/>
  <c r="S7" i="95" s="1"/>
  <c r="R109" i="4"/>
  <c r="S5" i="96" s="1"/>
  <c r="S7" i="96" s="1"/>
  <c r="R110" i="4"/>
  <c r="S5" i="97" s="1"/>
  <c r="S7" i="97" s="1"/>
  <c r="R111" i="4"/>
  <c r="S5" i="98" s="1"/>
  <c r="S7" i="98" s="1"/>
  <c r="R112" i="4"/>
  <c r="S5" i="99" s="1"/>
  <c r="S7" i="99" s="1"/>
  <c r="R113" i="4"/>
  <c r="S5" i="100" s="1"/>
  <c r="S7" i="100" s="1"/>
  <c r="R114" i="4"/>
  <c r="S5" i="101" s="1"/>
  <c r="S7" i="101" s="1"/>
  <c r="R115" i="4"/>
  <c r="S5" i="102" s="1"/>
  <c r="S7" i="102" s="1"/>
  <c r="R116" i="4"/>
  <c r="S5" i="103" s="1"/>
  <c r="S7" i="103" s="1"/>
  <c r="R117" i="4"/>
  <c r="S5" i="104" s="1"/>
  <c r="S7" i="104" s="1"/>
  <c r="R118" i="4"/>
  <c r="S5" i="105" s="1"/>
  <c r="S7" i="105" s="1"/>
  <c r="R119" i="4"/>
  <c r="S5" i="106" s="1"/>
  <c r="S7" i="106" s="1"/>
  <c r="R120" i="4"/>
  <c r="S5" i="107" s="1"/>
  <c r="S7" i="107" s="1"/>
  <c r="R10" i="4"/>
  <c r="S5" i="5" s="1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99" i="4"/>
  <c r="A98" i="4"/>
  <c r="A97" i="4"/>
  <c r="A96" i="4"/>
  <c r="A95" i="4"/>
  <c r="A94" i="4"/>
  <c r="A93" i="4"/>
  <c r="A92" i="4"/>
  <c r="A91" i="4"/>
  <c r="A90" i="4"/>
  <c r="A88" i="4"/>
  <c r="A87" i="4"/>
  <c r="A86" i="4"/>
  <c r="A85" i="4"/>
  <c r="A84" i="4"/>
  <c r="A82" i="4"/>
  <c r="A81" i="4"/>
  <c r="A80" i="4"/>
  <c r="A79" i="4"/>
  <c r="A78" i="4"/>
  <c r="A77" i="4"/>
  <c r="A76" i="4"/>
  <c r="A75" i="4"/>
  <c r="A74" i="4"/>
  <c r="A73" i="4"/>
  <c r="A71" i="4"/>
  <c r="A70" i="4"/>
  <c r="A69" i="4"/>
  <c r="A68" i="4"/>
  <c r="A67" i="4"/>
  <c r="A66" i="4"/>
  <c r="A65" i="4"/>
  <c r="A64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4" i="4"/>
  <c r="A13" i="4"/>
  <c r="A12" i="4"/>
  <c r="A11" i="4"/>
  <c r="A10" i="4"/>
  <c r="Q5" i="4"/>
  <c r="P5" i="4"/>
  <c r="N5" i="4"/>
  <c r="L5" i="4"/>
  <c r="K5" i="4"/>
  <c r="J5" i="4"/>
  <c r="I5" i="4"/>
  <c r="H5" i="4"/>
  <c r="G5" i="4"/>
  <c r="F5" i="4"/>
  <c r="E5" i="4"/>
  <c r="D5" i="4"/>
  <c r="G1" i="4"/>
  <c r="F1" i="4"/>
  <c r="S7" i="7" l="1"/>
  <c r="S5" i="86"/>
  <c r="S7" i="86" s="1"/>
  <c r="S5" i="77"/>
  <c r="S7" i="77" s="1"/>
  <c r="U119" i="4"/>
  <c r="T119" i="4"/>
  <c r="T115" i="4"/>
  <c r="U115" i="4"/>
  <c r="T111" i="4"/>
  <c r="U111" i="4"/>
  <c r="T103" i="4"/>
  <c r="U103" i="4"/>
  <c r="T118" i="4"/>
  <c r="U118" i="4"/>
  <c r="T114" i="4"/>
  <c r="U114" i="4"/>
  <c r="T110" i="4"/>
  <c r="U110" i="4"/>
  <c r="T106" i="4"/>
  <c r="U106" i="4"/>
  <c r="T113" i="4"/>
  <c r="U113" i="4"/>
  <c r="T109" i="4"/>
  <c r="U109" i="4"/>
  <c r="U105" i="4"/>
  <c r="T105" i="4"/>
  <c r="T117" i="4"/>
  <c r="U117" i="4"/>
  <c r="T120" i="4"/>
  <c r="U120" i="4"/>
  <c r="T116" i="4"/>
  <c r="U116" i="4"/>
  <c r="T112" i="4"/>
  <c r="U112" i="4"/>
  <c r="T108" i="4"/>
  <c r="U108" i="4"/>
  <c r="T104" i="4"/>
  <c r="U104" i="4"/>
  <c r="T107" i="4"/>
  <c r="U107" i="4"/>
  <c r="U102" i="4"/>
  <c r="T102" i="4"/>
  <c r="U101" i="4"/>
  <c r="T101" i="4"/>
  <c r="T97" i="4"/>
  <c r="U97" i="4"/>
  <c r="T93" i="4"/>
  <c r="U93" i="4"/>
  <c r="U96" i="4"/>
  <c r="T96" i="4"/>
  <c r="U92" i="4"/>
  <c r="T92" i="4"/>
  <c r="T99" i="4"/>
  <c r="U99" i="4"/>
  <c r="T95" i="4"/>
  <c r="U95" i="4"/>
  <c r="U98" i="4"/>
  <c r="T98" i="4"/>
  <c r="U94" i="4"/>
  <c r="T94" i="4"/>
  <c r="U90" i="4"/>
  <c r="T90" i="4"/>
  <c r="T91" i="4"/>
  <c r="U91" i="4"/>
  <c r="U88" i="4"/>
  <c r="T88" i="4"/>
  <c r="T87" i="4"/>
  <c r="U87" i="4"/>
  <c r="T86" i="4"/>
  <c r="U86" i="4"/>
  <c r="U85" i="4"/>
  <c r="T85" i="4"/>
  <c r="U84" i="4"/>
  <c r="T84" i="4"/>
  <c r="U79" i="4"/>
  <c r="T79" i="4"/>
  <c r="U75" i="4"/>
  <c r="T75" i="4"/>
  <c r="U82" i="4"/>
  <c r="T82" i="4"/>
  <c r="U78" i="4"/>
  <c r="T78" i="4"/>
  <c r="T81" i="4"/>
  <c r="U81" i="4"/>
  <c r="T77" i="4"/>
  <c r="U77" i="4"/>
  <c r="U80" i="4"/>
  <c r="T80" i="4"/>
  <c r="U76" i="4"/>
  <c r="T76" i="4"/>
  <c r="T74" i="4"/>
  <c r="U74" i="4"/>
  <c r="T70" i="4"/>
  <c r="U70" i="4"/>
  <c r="T66" i="4"/>
  <c r="U66" i="4"/>
  <c r="U69" i="4"/>
  <c r="T69" i="4"/>
  <c r="T68" i="4"/>
  <c r="U68" i="4"/>
  <c r="U71" i="4"/>
  <c r="T71" i="4"/>
  <c r="U67" i="4"/>
  <c r="T67" i="4"/>
  <c r="T65" i="4"/>
  <c r="U65" i="4"/>
  <c r="T64" i="4"/>
  <c r="U64" i="4"/>
  <c r="T61" i="4"/>
  <c r="U61" i="4"/>
  <c r="T57" i="4"/>
  <c r="U57" i="4"/>
  <c r="T53" i="4"/>
  <c r="U53" i="4"/>
  <c r="T49" i="4"/>
  <c r="U49" i="4"/>
  <c r="T60" i="4"/>
  <c r="U60" i="4"/>
  <c r="T56" i="4"/>
  <c r="U56" i="4"/>
  <c r="T52" i="4"/>
  <c r="U52" i="4"/>
  <c r="T48" i="4"/>
  <c r="U48" i="4"/>
  <c r="T59" i="4"/>
  <c r="U59" i="4"/>
  <c r="T55" i="4"/>
  <c r="U55" i="4"/>
  <c r="T51" i="4"/>
  <c r="U51" i="4"/>
  <c r="T62" i="4"/>
  <c r="U62" i="4"/>
  <c r="T58" i="4"/>
  <c r="U58" i="4"/>
  <c r="T54" i="4"/>
  <c r="U54" i="4"/>
  <c r="T50" i="4"/>
  <c r="U50" i="4"/>
  <c r="T47" i="4"/>
  <c r="U47" i="4"/>
  <c r="T46" i="4"/>
  <c r="U46" i="4"/>
  <c r="T44" i="4"/>
  <c r="U44" i="4"/>
  <c r="T40" i="4"/>
  <c r="U40" i="4"/>
  <c r="T43" i="4"/>
  <c r="U43" i="4"/>
  <c r="T39" i="4"/>
  <c r="U39" i="4"/>
  <c r="T35" i="4"/>
  <c r="U35" i="4"/>
  <c r="T34" i="4"/>
  <c r="U34" i="4"/>
  <c r="T42" i="4"/>
  <c r="U42" i="4"/>
  <c r="T38" i="4"/>
  <c r="U38" i="4"/>
  <c r="T41" i="4"/>
  <c r="U41" i="4"/>
  <c r="T37" i="4"/>
  <c r="U37" i="4"/>
  <c r="T33" i="4"/>
  <c r="U33" i="4"/>
  <c r="T36" i="4"/>
  <c r="U36" i="4"/>
  <c r="T32" i="4"/>
  <c r="U32" i="4"/>
  <c r="T31" i="4"/>
  <c r="U31" i="4"/>
  <c r="R5" i="4"/>
  <c r="U28" i="4"/>
  <c r="T28" i="4"/>
  <c r="T23" i="4"/>
  <c r="U23" i="4"/>
  <c r="T26" i="4"/>
  <c r="U26" i="4"/>
  <c r="U29" i="4"/>
  <c r="T29" i="4"/>
  <c r="U25" i="4"/>
  <c r="T25" i="4"/>
  <c r="U24" i="4"/>
  <c r="T24" i="4"/>
  <c r="U27" i="4"/>
  <c r="T27" i="4"/>
  <c r="T22" i="4"/>
  <c r="U22" i="4"/>
  <c r="T21" i="4"/>
  <c r="U21" i="4"/>
  <c r="T20" i="4"/>
  <c r="U20" i="4"/>
  <c r="T19" i="4"/>
  <c r="U19" i="4"/>
  <c r="T18" i="4"/>
  <c r="U18" i="4"/>
  <c r="T16" i="4"/>
  <c r="U16" i="4"/>
  <c r="S7" i="8"/>
  <c r="U17" i="4"/>
  <c r="T17" i="4"/>
  <c r="T14" i="4"/>
  <c r="U14" i="4"/>
  <c r="T13" i="4"/>
  <c r="U13" i="4"/>
  <c r="T12" i="4"/>
  <c r="U12" i="4"/>
  <c r="T11" i="4"/>
  <c r="U11" i="4"/>
  <c r="S7" i="6"/>
  <c r="S6" i="5"/>
  <c r="N4" i="4"/>
  <c r="N6" i="4" s="1"/>
  <c r="G1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Q4" i="4"/>
  <c r="Q6" i="4" s="1"/>
  <c r="P6" i="4"/>
  <c r="K4" i="4"/>
  <c r="K6" i="4" s="1"/>
  <c r="J4" i="4"/>
  <c r="J6" i="4" s="1"/>
  <c r="I4" i="4"/>
  <c r="I6" i="4" s="1"/>
  <c r="H4" i="4"/>
  <c r="H6" i="4" s="1"/>
  <c r="G4" i="4"/>
  <c r="G6" i="4" s="1"/>
  <c r="F4" i="4"/>
  <c r="F6" i="4" s="1"/>
  <c r="E4" i="4"/>
  <c r="E6" i="4" s="1"/>
  <c r="D4" i="4"/>
  <c r="R4" i="4" l="1"/>
  <c r="R6" i="4" s="1"/>
  <c r="D6" i="4"/>
  <c r="S7" i="5"/>
  <c r="S10" i="4"/>
  <c r="S5" i="4" s="1"/>
  <c r="T5" i="4" s="1"/>
  <c r="S4" i="3"/>
  <c r="E5" i="1"/>
  <c r="E6" i="1" s="1"/>
  <c r="F5" i="1"/>
  <c r="G5" i="1"/>
  <c r="G6" i="1" s="1"/>
  <c r="H5" i="1"/>
  <c r="I5" i="1"/>
  <c r="I6" i="1" s="1"/>
  <c r="J5" i="1"/>
  <c r="K5" i="1"/>
  <c r="K6" i="1" s="1"/>
  <c r="L5" i="1"/>
  <c r="M5" i="1"/>
  <c r="M6" i="1" s="1"/>
  <c r="N5" i="1"/>
  <c r="O5" i="1"/>
  <c r="O6" i="1" s="1"/>
  <c r="D5" i="1"/>
  <c r="D6" i="1" s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01" i="1"/>
  <c r="A91" i="1"/>
  <c r="A92" i="1"/>
  <c r="A93" i="1"/>
  <c r="A94" i="1"/>
  <c r="A95" i="1"/>
  <c r="A96" i="1"/>
  <c r="A97" i="1"/>
  <c r="A98" i="1"/>
  <c r="A99" i="1"/>
  <c r="A90" i="1"/>
  <c r="A85" i="1"/>
  <c r="A86" i="1"/>
  <c r="A87" i="1"/>
  <c r="A88" i="1"/>
  <c r="A84" i="1"/>
  <c r="A74" i="1"/>
  <c r="A75" i="1"/>
  <c r="A76" i="1"/>
  <c r="A77" i="1"/>
  <c r="A78" i="1"/>
  <c r="A79" i="1"/>
  <c r="A80" i="1"/>
  <c r="A81" i="1"/>
  <c r="A82" i="1"/>
  <c r="A73" i="1"/>
  <c r="A65" i="1"/>
  <c r="A66" i="1"/>
  <c r="A67" i="1"/>
  <c r="A68" i="1"/>
  <c r="A69" i="1"/>
  <c r="A70" i="1"/>
  <c r="A71" i="1"/>
  <c r="A64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46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31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16" i="1"/>
  <c r="A11" i="1"/>
  <c r="A12" i="1"/>
  <c r="A13" i="1"/>
  <c r="A14" i="1"/>
  <c r="A10" i="1"/>
  <c r="F1" i="1"/>
  <c r="G1" i="1"/>
  <c r="F6" i="1"/>
  <c r="H6" i="1"/>
  <c r="J6" i="1"/>
  <c r="L6" i="1"/>
  <c r="N6" i="1"/>
  <c r="P4" i="1"/>
  <c r="U10" i="4" l="1"/>
  <c r="U5" i="4" s="1"/>
  <c r="T10" i="4"/>
  <c r="P5" i="1"/>
  <c r="P6" i="1" s="1"/>
</calcChain>
</file>

<file path=xl/sharedStrings.xml><?xml version="1.0" encoding="utf-8"?>
<sst xmlns="http://schemas.openxmlformats.org/spreadsheetml/2006/main" count="9008" uniqueCount="399">
  <si>
    <t>ปวช.</t>
  </si>
  <si>
    <t>ปวส.</t>
  </si>
  <si>
    <t>ระยะสั้น</t>
  </si>
  <si>
    <t>หนังสือ</t>
  </si>
  <si>
    <t>เครื่องแบบ</t>
  </si>
  <si>
    <t>อุปกรณ์</t>
  </si>
  <si>
    <t>กิจกรรม</t>
  </si>
  <si>
    <t>เครื่องมือ</t>
  </si>
  <si>
    <t>เงินรายได้</t>
  </si>
  <si>
    <t>เงินรับฝาก</t>
  </si>
  <si>
    <t>รวม</t>
  </si>
  <si>
    <t>อุดหนุน</t>
  </si>
  <si>
    <t>โครงการ</t>
  </si>
  <si>
    <t>เงินงบประมาณ</t>
  </si>
  <si>
    <t>เงินอุดหนุน</t>
  </si>
  <si>
    <t>เงิน บกศ.</t>
  </si>
  <si>
    <t>งบรายจ่ายอื่น</t>
  </si>
  <si>
    <t>รับมา</t>
  </si>
  <si>
    <t>จัดสรรไป</t>
  </si>
  <si>
    <t>คงเหลือ</t>
  </si>
  <si>
    <t>ประมาณการรายจ่าย ปีงบประมาณ</t>
  </si>
  <si>
    <t>ชื่อสถานศึกษา</t>
  </si>
  <si>
    <t>ปีงบประมาณ</t>
  </si>
  <si>
    <t>1. งบบุคลากร</t>
  </si>
  <si>
    <t>เงินเดือนพนักงานราชการ</t>
  </si>
  <si>
    <t>2. งบดำเนินงาน (ค่าตอบแทน)</t>
  </si>
  <si>
    <t>ค่าตอบแทนพิเศษพนักงานราชการ</t>
  </si>
  <si>
    <t>ค่าสอนเกินภาระงาน</t>
  </si>
  <si>
    <t>ค่าธุรการนอกเวลา</t>
  </si>
  <si>
    <t>ค่าสอนภาคฤดูร้อน</t>
  </si>
  <si>
    <t>ค่าสอนเทียบโอน</t>
  </si>
  <si>
    <t>ค่าจ้างครูรายเดือน</t>
  </si>
  <si>
    <t>ค่าจ้างเจ้าหน้าที่รายเดือน</t>
  </si>
  <si>
    <t>ค่าครองชีพครูรายเดือน</t>
  </si>
  <si>
    <t>ค่าครองชีพเจ้าหน้าที่รายเดือน</t>
  </si>
  <si>
    <t>3. งบดำเนินงาน (ค่าใช้สอย)</t>
  </si>
  <si>
    <t>ค่าจ้างซ่อมครุภัณฑ์การศึกษาและสำนักงาน</t>
  </si>
  <si>
    <t>ค่าซ่อมยานพาหนะ</t>
  </si>
  <si>
    <t>ค่าจ้างติดตั้ง ซ่อมแซมระบบสาธารณูปโภค</t>
  </si>
  <si>
    <t>ค่าจ้างซ่อมอาคารสถานที่/พัฒนาสิ่งแวดล้อม</t>
  </si>
  <si>
    <t>ค่าเบี้ยเลี้ยง พาหนะเดิอนทาง และที่พัก</t>
  </si>
  <si>
    <t>ค่าสมทบประกันสังคม(พนักงานราชการ)</t>
  </si>
  <si>
    <t>ค่าสมทบประกันสังคม(ครูรายเดือน)</t>
  </si>
  <si>
    <t>ค่าสมทบประกันสังคม(เจ้าหน้าที่รายเดือน)</t>
  </si>
  <si>
    <t>ค่าใช้สอยอื่นๆ(ไม่เกิน50,000/ครั้ง/รายการ)</t>
  </si>
  <si>
    <t>4. งบดำเนินงาน (ค่าวัสดุ)</t>
  </si>
  <si>
    <t>แผนกวิชาช่างก่อสร้าง</t>
  </si>
  <si>
    <t>แผนกวิชาช่างยนต์</t>
  </si>
  <si>
    <t>แผนกวิชาช่างไฟฟ้ากำลัง</t>
  </si>
  <si>
    <t>แผนกวิชาช่างอิเล็กทรอนิกส์</t>
  </si>
  <si>
    <t>แผนกวิชาการบัญชี</t>
  </si>
  <si>
    <t>แผนกวิชาคอมพิวเตอร์ธุรกิจ</t>
  </si>
  <si>
    <t>แผนกวิชาเทคนิคพื้นฐาน</t>
  </si>
  <si>
    <t>แผนกวิชาสามัญสัมพันธ์</t>
  </si>
  <si>
    <t>ฝ่ายวิชาการ</t>
  </si>
  <si>
    <t>ฝ่ายพัฒนากิจการนักเรียนนักศึกษา</t>
  </si>
  <si>
    <t>ฝ่ายแผนงานและความร่วมมือ</t>
  </si>
  <si>
    <t>ฝ่ายบริหารทรัพยากร</t>
  </si>
  <si>
    <t>5. งบดำเนินงาน (ค่าสาธารณูปโภค)</t>
  </si>
  <si>
    <t>ค่าไฟฟ้า</t>
  </si>
  <si>
    <t>ค่าประปา</t>
  </si>
  <si>
    <t>ค่าโทรศัพท์</t>
  </si>
  <si>
    <t>ค่าไปรษณีย์</t>
  </si>
  <si>
    <t>ค่าอินเตอร์เนต</t>
  </si>
  <si>
    <t>โครงการด้านการประกันคุณภาพภายใน</t>
  </si>
  <si>
    <t>โครงการ อวท.</t>
  </si>
  <si>
    <t>7. งบลงทุน (ที่ดิน สิ่งก่อสร้าง และครุภัณฑ์)</t>
  </si>
  <si>
    <t>ค่าหนังสือเรียน</t>
  </si>
  <si>
    <t>ค่าเครื่องแบบนักเรียน</t>
  </si>
  <si>
    <t>ค่าอุปกรณ์การเรียน</t>
  </si>
  <si>
    <t>ค่ากิจกรรมพัฒนาคุณภาพผู้เรียน</t>
  </si>
  <si>
    <t>ค่าเครื่องมือประจำตัวผู้เรียน</t>
  </si>
  <si>
    <t>โครงการโรงเรียนตามรอยพระยุคลบาทฯ</t>
  </si>
  <si>
    <t>โครงการโรงเรียนคุณธรรม</t>
  </si>
  <si>
    <t>โครงการการสร้างผู้ประกอบการใหม่</t>
  </si>
  <si>
    <t>โครงการอาชีวะอาสาร่วมด้วยช่วยประชาชน</t>
  </si>
  <si>
    <t>โครงการศูนย์ซ่อมสร้างเพื่อชุมชน (Fix it)</t>
  </si>
  <si>
    <t>โครงการทุนเฉลิมราชกุมารี</t>
  </si>
  <si>
    <t>โครงการสิ่งประดิษฐ์ของคนรุ่นใหม่</t>
  </si>
  <si>
    <t>โครงการลดจำนวนการออกกลางคัน</t>
  </si>
  <si>
    <t>โครงการโรงเรียนเศรษฐกิจพอเพียง</t>
  </si>
  <si>
    <t>โครงการป้องกันปัญหายาเสพติด</t>
  </si>
  <si>
    <t>6. งบดำเนินงาน (แผนงาน/โครงการ/กิจกรรม)</t>
  </si>
  <si>
    <t>โครงการด้านการพัฒนาผู้เรียน</t>
  </si>
  <si>
    <t>โครงการด้านการพัฒนาครูและบุคลากร</t>
  </si>
  <si>
    <t>โครงการด้านการพัฒนาคุณภาพสถานศึกษา</t>
  </si>
  <si>
    <t>8. งบอุดหนุน</t>
  </si>
  <si>
    <t>9. งบรายจ่ายอื่น (โครงการตามนโยบายต่างๆ)</t>
  </si>
  <si>
    <t>ลำดับ</t>
  </si>
  <si>
    <t>วันที่ เดือน พ.ศ.</t>
  </si>
  <si>
    <t>เอกสารการจัดสรร</t>
  </si>
  <si>
    <t>รหัสเอกสาร</t>
  </si>
  <si>
    <t>รวมรายรับ</t>
  </si>
  <si>
    <t>รายการรายรับ ปีงบประมาณ</t>
  </si>
  <si>
    <t>ใช้ไปแล้ว</t>
  </si>
  <si>
    <t>ร้อยละ</t>
  </si>
  <si>
    <t>เหลือ</t>
  </si>
  <si>
    <t>รายการจัดสรรรายจ่ายปี งปม.</t>
  </si>
  <si>
    <t>ได้รับมา</t>
  </si>
  <si>
    <t>รหัสรายการจ่าย</t>
  </si>
  <si>
    <t>รายการจ่าย</t>
  </si>
  <si>
    <t>รหัส</t>
  </si>
  <si>
    <t>วันที่</t>
  </si>
  <si>
    <t>ชื่อผู้ขอใช้</t>
  </si>
  <si>
    <t>แผนก/งาน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</si>
  <si>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</si>
  <si>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</si>
  <si>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</si>
  <si>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</si>
  <si>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</si>
  <si>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</si>
  <si>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</si>
  <si>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</si>
  <si>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</si>
  <si>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</si>
  <si>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</si>
  <si>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</si>
  <si>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</si>
  <si>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</si>
  <si>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</si>
  <si>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</si>
  <si>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</si>
  <si>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</si>
  <si>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</si>
  <si>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</si>
  <si>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</si>
  <si>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</si>
  <si>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</si>
  <si>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</si>
  <si>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</si>
  <si>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</si>
  <si>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</si>
  <si>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</si>
  <si>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</si>
  <si>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</si>
  <si>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</si>
  <si>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</si>
  <si>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</si>
  <si>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035</t>
  </si>
  <si>
    <t>กลับไปที่หน้าจัดสรร งปม.</t>
  </si>
  <si>
    <t>สรุปรายการจ่ายจากยอดจัดสสร</t>
  </si>
  <si>
    <t>สำรอง 1</t>
  </si>
  <si>
    <t>สำรอง 2</t>
  </si>
  <si>
    <t>สำรอง 3</t>
  </si>
  <si>
    <t>สำรอง 4</t>
  </si>
  <si>
    <t>สำรอง 5</t>
  </si>
  <si>
    <t>สำรอง 5 (ผู้อำนวยการ)</t>
  </si>
  <si>
    <t>สำรอง 6</t>
  </si>
  <si>
    <t>สำรอง 7</t>
  </si>
  <si>
    <t>สำรอง 8</t>
  </si>
  <si>
    <t>สำรอง 9</t>
  </si>
  <si>
    <t>สำรอง 10</t>
  </si>
  <si>
    <t>งบบุคลากร</t>
  </si>
  <si>
    <t>งบดำเนินงาน (ค่าตอบแทน)</t>
  </si>
  <si>
    <t>งบดำเนินงาน (ค่าใช้สอย)</t>
  </si>
  <si>
    <t>งบดำเนินงาน (ค่าวัสดุ)</t>
  </si>
  <si>
    <t>งบดำเนินงาน (ค่าสาธารณูปโภค)</t>
  </si>
  <si>
    <t>งบดำเนินงาน (โครงการ/กิจกรรม)</t>
  </si>
  <si>
    <t>งบลงทุน (ที่ดิน สิ่งก่อสร้าง ครุภัณฑ์)</t>
  </si>
  <si>
    <t>งบอุดหนุน</t>
  </si>
  <si>
    <t>วิทยาลัยการอาชีพนวมินทราชินีแม่ฮ่องสอน</t>
  </si>
  <si>
    <t>รวมทั้งสิ้น</t>
  </si>
  <si>
    <t>โครงการประกันคุณภาพ</t>
  </si>
  <si>
    <t>โครงการการประกันฯ</t>
  </si>
  <si>
    <t>โครงการอาชีวะต้านยาเสพติด</t>
  </si>
  <si>
    <t>โครงการตั้งจุดบริการอำนวยความสะดวก</t>
  </si>
  <si>
    <t>โครงการอาชีวะอาษา</t>
  </si>
  <si>
    <t>ออกกลางคัน</t>
  </si>
  <si>
    <t>รณรงค์ลดอุบัติเหตุ</t>
  </si>
  <si>
    <t>ภูมิภาคเอเชียตะวันออกเฉียงใต้</t>
  </si>
  <si>
    <t>ลดเวลาเรียนเพิ่มเวลารู้</t>
  </si>
  <si>
    <t>ส่งเสริมการประกอบอาชีพอิสระ</t>
  </si>
  <si>
    <t>สถานศึกษาตามรอยฯ</t>
  </si>
  <si>
    <t>เร่งประสิทธิภาพการสอนครู</t>
  </si>
  <si>
    <t>คืนครูให้นักเรียน</t>
  </si>
  <si>
    <t>Fixit center</t>
  </si>
  <si>
    <t>ทวิภาคี</t>
  </si>
  <si>
    <t>ทวิศึกษา</t>
  </si>
  <si>
    <t>อุดหนุน อวท.</t>
  </si>
  <si>
    <t>อุดหนุนสิ่งประดิษฐ์</t>
  </si>
  <si>
    <t>อุดหนุนรายได้ระหว่างเรียน</t>
  </si>
  <si>
    <t>ชุดครุภัณฑ์ห้องเรียนอัจฉริยะ</t>
  </si>
  <si>
    <t>ชุดปฎิบัติการเขียนแบบด้วยคอมพิวเตอร์</t>
  </si>
  <si>
    <t>ค่าเครื่องมือ</t>
  </si>
  <si>
    <t>ค่าจัดการเรียนการสอน</t>
  </si>
  <si>
    <t>อุปกรณ์การเรียน</t>
  </si>
  <si>
    <t>กิจกรรมพัฒนาผู้เรียน</t>
  </si>
  <si>
    <t>ทุนเฉลิมราชกุมารี</t>
  </si>
  <si>
    <t>สมทบประกันสังคม</t>
  </si>
  <si>
    <t>ค่าสาธารณูปโภค</t>
  </si>
  <si>
    <t>ปวช</t>
  </si>
  <si>
    <t>ก.ย.</t>
  </si>
  <si>
    <t>ส.ค.</t>
  </si>
  <si>
    <t>ก.ค.</t>
  </si>
  <si>
    <t>มิ.ย.</t>
  </si>
  <si>
    <t>พ.ค.</t>
  </si>
  <si>
    <t>เม.ย.</t>
  </si>
  <si>
    <t>มี.ค.</t>
  </si>
  <si>
    <t>ก.พ.</t>
  </si>
  <si>
    <t>ม.ค.</t>
  </si>
  <si>
    <t>ธ.ค.</t>
  </si>
  <si>
    <t>พ.ย.</t>
  </si>
  <si>
    <t>ต.ค.</t>
  </si>
  <si>
    <t>ไตรมาสที่ 4</t>
  </si>
  <si>
    <t>ไตรมาสที่ 3</t>
  </si>
  <si>
    <t>ไตรมาสที่ 2</t>
  </si>
  <si>
    <t>ไตรมาสที่ 1</t>
  </si>
  <si>
    <t>รายการ</t>
  </si>
  <si>
    <t xml:space="preserve">ลำดับที่ </t>
  </si>
  <si>
    <t>จัดการเรียน</t>
  </si>
  <si>
    <t>เงินนอกงบ</t>
  </si>
  <si>
    <t>เสริมสร้างพัฒนาศักยภาพครู</t>
  </si>
  <si>
    <t>รายการจัดสรรงบประมาณ 65</t>
  </si>
  <si>
    <t>14 ตุลาคม 2564</t>
  </si>
  <si>
    <t>ชุดปฏิบัติการเขียนแบบด้วยคอมพิวเตอร์</t>
  </si>
  <si>
    <t>18 ตุลาคม 2564</t>
  </si>
  <si>
    <t>ค่าตอบแทนพนักงานราชการ</t>
  </si>
  <si>
    <t>2565002</t>
  </si>
  <si>
    <t>2565003</t>
  </si>
  <si>
    <t>วัสดุมุงหลังคาเมทัลชีท</t>
  </si>
  <si>
    <t>ค่าประกันสังคม</t>
  </si>
  <si>
    <t>2565004</t>
  </si>
  <si>
    <t>2 พ.ย.64</t>
  </si>
  <si>
    <t>22 พ.ย.64</t>
  </si>
  <si>
    <t>2565005</t>
  </si>
  <si>
    <t>ปวช+ปวส+ระยะสั้น</t>
  </si>
  <si>
    <t>30 พ.ย 64</t>
  </si>
  <si>
    <t>21 ธ.ค.65</t>
  </si>
  <si>
    <t>2565006</t>
  </si>
  <si>
    <t>2565007</t>
  </si>
  <si>
    <t>เงินนอก</t>
  </si>
  <si>
    <t>โครงการเร่งประสิทธิภาพครู</t>
  </si>
  <si>
    <t>โครงการคืนครู</t>
  </si>
  <si>
    <t>2565008</t>
  </si>
  <si>
    <t>เงินนอกงบประมาณ</t>
  </si>
  <si>
    <t>26 ต.ค. 64</t>
  </si>
  <si>
    <t>17 พ.ย.64</t>
  </si>
  <si>
    <t>17 ม.ค. 65</t>
  </si>
  <si>
    <t>9 ธ.ค. 64</t>
  </si>
  <si>
    <t>นางอำโนญ  พัฒนกสิกร</t>
  </si>
  <si>
    <t>การเงิน</t>
  </si>
  <si>
    <t>21 ธ.ค.64</t>
  </si>
  <si>
    <t>นางกานดา  เอี่ยมกระสินธ์</t>
  </si>
  <si>
    <t>สามัญ</t>
  </si>
  <si>
    <t>8 ธ.ค.64</t>
  </si>
  <si>
    <t>9 ธ.ค.64</t>
  </si>
  <si>
    <t>18 ม.ค.65</t>
  </si>
  <si>
    <t>8 ธ.ค. 64</t>
  </si>
  <si>
    <t>นางอำโนญ  พัฒนากสิกร</t>
  </si>
  <si>
    <t>ค่าน้ำมัน</t>
  </si>
  <si>
    <t>ค่าขยะมูลฝอย</t>
  </si>
  <si>
    <t>ค่าโดเมนเนม</t>
  </si>
  <si>
    <t>โครงการปฐมนิเทศ คู่มือ นักเรียนนักศึกษาใหมา ปวช. ปวส. ปี2565</t>
  </si>
  <si>
    <t>โครงการตรวจสุขภาพนักเรียนนักศึกษา</t>
  </si>
  <si>
    <t>โครงการประกันอุบัติเหตุ นักเรียน นักศึกษา</t>
  </si>
  <si>
    <t>โครงการจัดทำบัตรนักเรียน นักศึกษา ประจำปี 2565</t>
  </si>
  <si>
    <t>โครงการยาและเวชภัณฑ์</t>
  </si>
  <si>
    <t>โครงการศึกษาดูงานเพิ่มประสิทธิภาพบุคลากร เชียงราย</t>
  </si>
  <si>
    <t>โครงการคืนครูให้นักเรียน</t>
  </si>
  <si>
    <t>นายคณิต  ศิริมาเมือง</t>
  </si>
  <si>
    <t>พัสดุ</t>
  </si>
  <si>
    <t>1 ธ.ค.64</t>
  </si>
  <si>
    <t>20 ธ.ค.64</t>
  </si>
  <si>
    <t>27 ธ.ค. 64</t>
  </si>
  <si>
    <t>12 มค. 65</t>
  </si>
  <si>
    <t>8 ก.พ.65</t>
  </si>
  <si>
    <t>นายศิวกร  ทองพูลเจริญดี</t>
  </si>
  <si>
    <t>นายสุทธิพันธ์  สุทธิแสน</t>
  </si>
  <si>
    <t>นายคำสิงห์  ทองคำจักร</t>
  </si>
  <si>
    <t>นายชัชวาลย์  ขวาแซ้น</t>
  </si>
  <si>
    <t>นายยศกร  วิศรุตพงศ์</t>
  </si>
  <si>
    <t>นายประภาส  แซ่ว้าง</t>
  </si>
  <si>
    <t>นางดวงสมร  สง่างาม</t>
  </si>
  <si>
    <t>นายสาวนภัชชยา  อุดมทวีโชติ</t>
  </si>
  <si>
    <t>โครงการพิเศษ</t>
  </si>
  <si>
    <t>ช่างยนต์</t>
  </si>
  <si>
    <t>พขร</t>
  </si>
  <si>
    <t>รอง</t>
  </si>
  <si>
    <t>8 ก.พ. 65</t>
  </si>
  <si>
    <t>24 พ.ย.64</t>
  </si>
  <si>
    <t>13 ธ.ค.64</t>
  </si>
  <si>
    <t>นายปัชชากร  โนวรรณ</t>
  </si>
  <si>
    <t>นายธาดา  คงจรัสแสง</t>
  </si>
  <si>
    <t>นายภูวิศ  พัชรวิทิศโชติ</t>
  </si>
  <si>
    <t>อาคาร</t>
  </si>
  <si>
    <t>แก้ยอด</t>
  </si>
  <si>
    <t>26 พ.ย.64</t>
  </si>
  <si>
    <t>13 ม.ค.65</t>
  </si>
  <si>
    <t>17 ม.ค.65</t>
  </si>
  <si>
    <t>21 ก.พ.65</t>
  </si>
  <si>
    <t>18 ม.ค. 65</t>
  </si>
  <si>
    <t>3 ธ.ค.64</t>
  </si>
  <si>
    <t>14 ธ.ค.64</t>
  </si>
  <si>
    <t>27 ธ.ค.64</t>
  </si>
  <si>
    <t>3 ม.ค.65</t>
  </si>
  <si>
    <t>12 ม.ค.65</t>
  </si>
  <si>
    <t>นางนภัชชยา อุดมทวีโชติ</t>
  </si>
  <si>
    <t>นางสาวศิริลักษณ์  เปรมเจริญจิตร</t>
  </si>
  <si>
    <t>นางสาวจุฑามาศ  บัวขาว</t>
  </si>
  <si>
    <t>นายชนวีร์  วิหคเวษฐ์ชัย</t>
  </si>
  <si>
    <t>นางสาวอรทัย  ตาคำ</t>
  </si>
  <si>
    <t>นายสิรธีร์  รัตนชัยโชติกุล</t>
  </si>
  <si>
    <t>ค่าเบี้ยเลี้ยง พาหนะเดินทาง และที่พัก</t>
  </si>
  <si>
    <t>นายเอกนรินทร์  กล้าแข็ง</t>
  </si>
  <si>
    <t>นางสาวณัฐสิญาน์  ฐากูล</t>
  </si>
  <si>
    <t>นางสาวกรรธิมา  สุโคมุด</t>
  </si>
  <si>
    <t>11 ม.ค.65</t>
  </si>
  <si>
    <t>นางสาวน้ำทิพย์  ฐิติอุดมศรี</t>
  </si>
  <si>
    <t>นางสาวณัจสิญาน์  ฐากูร</t>
  </si>
  <si>
    <t>แก้ชื่อ ผอ.</t>
  </si>
  <si>
    <t>นางสาวณัจสิญาณ์  ฐากูล</t>
  </si>
  <si>
    <t>นางสาวณัฐสิญาณ์  ฐากูล</t>
  </si>
  <si>
    <t>19 ม.ค.65</t>
  </si>
  <si>
    <t>นางสาวกรรธิมา สุโคมุด</t>
  </si>
  <si>
    <t>1 พ.ย.64</t>
  </si>
  <si>
    <t>ศูนย์ข้อมูล</t>
  </si>
  <si>
    <t>25 ต.ค64</t>
  </si>
  <si>
    <t>ก่อสร้าง</t>
  </si>
  <si>
    <t>นางสาวรสสุคนธ์ เยาวเรศ</t>
  </si>
  <si>
    <t>26 ต.ค64</t>
  </si>
  <si>
    <t>27 ต.ค64</t>
  </si>
  <si>
    <t>25 ต.ค.64</t>
  </si>
  <si>
    <t>นายชนวีร์ วิหคเชษฐ์ชัย</t>
  </si>
  <si>
    <t>นายปิยะพงษ์  ชื่นมงคล</t>
  </si>
  <si>
    <t>นายพงษ์ศักดิ์  ศิริมาเมือง</t>
  </si>
  <si>
    <t>1 พ.ย. 64</t>
  </si>
  <si>
    <t>นายชยานนท์  มงคลเทพ</t>
  </si>
  <si>
    <t>ช่างไฟฟ้า</t>
  </si>
  <si>
    <t>นายกฤษณะ  ศิริพัฒนศักดิ์</t>
  </si>
  <si>
    <t>นายปัณณทัต  ใจหล้า</t>
  </si>
  <si>
    <t>อิเล็กทรอนิกส์</t>
  </si>
  <si>
    <t>นางสางวรุ่งนภา  มณีจันทร์</t>
  </si>
  <si>
    <t>บัญชี</t>
  </si>
  <si>
    <t>นายสาวอาทิตยา  การเพียร</t>
  </si>
  <si>
    <t>สารสนเทศ</t>
  </si>
  <si>
    <t>24 ธ.ค.64</t>
  </si>
  <si>
    <t>นางสาวจรรยาศิริ  บุญมาลา</t>
  </si>
  <si>
    <t>1 ก.พ.65</t>
  </si>
  <si>
    <t>แผนกวิชาเทคโนโลยีสารสนเทศ</t>
  </si>
  <si>
    <t>นายบวร  วรรณเรือน</t>
  </si>
  <si>
    <t>พื้นฐาน</t>
  </si>
  <si>
    <t>นายณัฐนนท์ สมภารจันทร์</t>
  </si>
  <si>
    <t>27 ต.ค.64</t>
  </si>
  <si>
    <t>นางธนพร  แสงนูญ</t>
  </si>
  <si>
    <t>สวัสดิการ</t>
  </si>
  <si>
    <t>18 ม.ค.64</t>
  </si>
  <si>
    <t xml:space="preserve">นางสาวสุภาพร  หลงฤทธิ์  </t>
  </si>
  <si>
    <t>งานวางแผน</t>
  </si>
  <si>
    <t>นางสาวจันทร์เพ็ญ  แคว้นประจิม</t>
  </si>
  <si>
    <t>งานวัดผล</t>
  </si>
  <si>
    <t>นางสาวณัจสิญาณ์  ฐากูร</t>
  </si>
  <si>
    <t>งานปกครอง</t>
  </si>
  <si>
    <t>17 ก.พ.65</t>
  </si>
  <si>
    <t>โครงการ Fix it Center</t>
  </si>
  <si>
    <t>22 ก.พ.65</t>
  </si>
  <si>
    <t>นายเมธัส  ไพศษลนิรันดร์กาล</t>
  </si>
  <si>
    <t>23 กพ.65</t>
  </si>
  <si>
    <t>เขียนยอดผิด</t>
  </si>
  <si>
    <t>25 ก.พ. 65</t>
  </si>
  <si>
    <t>2565009</t>
  </si>
  <si>
    <t>2565010</t>
  </si>
  <si>
    <t>23 ก.พ.65</t>
  </si>
  <si>
    <t>โครงการจัดการศึกษาเรียนร่วม ทวิศึกษา</t>
  </si>
  <si>
    <t>โครงการจัดการศึกษาเรียนร่วมหลักสูตรอาชีวศึกษา ทวิศึกษา</t>
  </si>
  <si>
    <t>3 มี.ค.65</t>
  </si>
  <si>
    <t>4 มี.ค. 65</t>
  </si>
  <si>
    <t>7 มี.ค. 65</t>
  </si>
  <si>
    <t>7 มี.ค.65</t>
  </si>
  <si>
    <t>ทะเบียน</t>
  </si>
  <si>
    <t>นางฐิตานันท์  ชมพูวีรกุล</t>
  </si>
  <si>
    <t>นายคำสิงห์ คำทองจักร</t>
  </si>
  <si>
    <t>เงินสมทบกองทุนเงินทดแทน</t>
  </si>
  <si>
    <t>8 มี.ค.64</t>
  </si>
  <si>
    <t>8 มี.ค.65</t>
  </si>
  <si>
    <t>ทุนหารศึกษาเฉลิมราชกุมารี</t>
  </si>
  <si>
    <t>2565011</t>
  </si>
  <si>
    <t>ทั่วไป</t>
  </si>
  <si>
    <t xml:space="preserve">   </t>
  </si>
  <si>
    <t>14 มี.ค.65</t>
  </si>
  <si>
    <t>นางสาวพรรพี  สอาดจิตต์</t>
  </si>
  <si>
    <t>บริหาร</t>
  </si>
  <si>
    <t>25 ก.พ.65</t>
  </si>
  <si>
    <t>นางสาวริศรา หน้างาม</t>
  </si>
  <si>
    <t>วิชาการ</t>
  </si>
  <si>
    <t>โครงการพัฒนาศักยภาพผู้เรียนอาชีวศึกษาในการเป็นผู้ประกอบการ</t>
  </si>
  <si>
    <t>2565012</t>
  </si>
  <si>
    <t>.</t>
  </si>
  <si>
    <t>15 มี.ค.65</t>
  </si>
  <si>
    <t>นายเมธัส ไพศาลนิรันดร์กาล</t>
  </si>
  <si>
    <t>15 มี.ค. 65</t>
  </si>
  <si>
    <t>16 มี.ค.65</t>
  </si>
  <si>
    <t>แนะแนว</t>
  </si>
  <si>
    <t>17 มี.ค.65</t>
  </si>
  <si>
    <t>21 มี.ค.65</t>
  </si>
  <si>
    <t>25 มี.ค.65</t>
  </si>
  <si>
    <t>21 มี.ค. 65</t>
  </si>
  <si>
    <t>22 มี.ค.65</t>
  </si>
  <si>
    <t>24 มี.ค.65</t>
  </si>
  <si>
    <t>24 มี.ค.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</si>
</sst>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87" formatCode="_-* #,##0_-;\-* #,##0_-;_-* &quot;-&quot;??_-;_-@_-"/>
    <numFmt numFmtId="188" formatCode="[$-1070000]d/m/yy;@"/>
    <numFmt numFmtId="189" formatCode="[$-107041E]d\ mmmm\ yyyy;@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sz val="14"/>
      <color rgb="FF0000CC"/>
      <name val="TH SarabunPSK"/>
      <family val="2"/>
    </font>
    <font>
      <u/>
      <sz val="14"/>
      <color theme="10"/>
      <name val="TH SarabunPSK"/>
      <family val="2"/>
    </font>
    <font>
      <u/>
      <sz val="14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7" borderId="0" xfId="0" applyFont="1" applyFill="1"/>
    <xf numFmtId="0" fontId="3" fillId="0" borderId="0" xfId="0" applyFont="1" applyBorder="1" applyAlignment="1">
      <alignment horizontal="center"/>
    </xf>
    <xf numFmtId="187" fontId="3" fillId="0" borderId="0" xfId="1" applyNumberFormat="1" applyFont="1" applyBorder="1" applyAlignment="1">
      <alignment horizontal="center"/>
    </xf>
    <xf numFmtId="0" fontId="3" fillId="0" borderId="0" xfId="0" applyFont="1" applyBorder="1"/>
    <xf numFmtId="187" fontId="4" fillId="7" borderId="0" xfId="1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87" fontId="3" fillId="0" borderId="0" xfId="1" applyNumberFormat="1" applyFont="1" applyBorder="1"/>
    <xf numFmtId="43" fontId="3" fillId="0" borderId="1" xfId="1" applyFont="1" applyBorder="1"/>
    <xf numFmtId="187" fontId="3" fillId="0" borderId="1" xfId="1" applyNumberFormat="1" applyFont="1" applyBorder="1"/>
    <xf numFmtId="187" fontId="6" fillId="0" borderId="1" xfId="0" applyNumberFormat="1" applyFont="1" applyBorder="1"/>
    <xf numFmtId="187" fontId="3" fillId="7" borderId="1" xfId="1" applyNumberFormat="1" applyFont="1" applyFill="1" applyBorder="1"/>
    <xf numFmtId="187" fontId="3" fillId="8" borderId="1" xfId="1" applyNumberFormat="1" applyFont="1" applyFill="1" applyBorder="1"/>
    <xf numFmtId="187" fontId="3" fillId="9" borderId="1" xfId="1" applyNumberFormat="1" applyFont="1" applyFill="1" applyBorder="1"/>
    <xf numFmtId="187" fontId="3" fillId="10" borderId="1" xfId="1" applyNumberFormat="1" applyFont="1" applyFill="1" applyBorder="1"/>
    <xf numFmtId="187" fontId="3" fillId="11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1" xfId="1" applyFont="1" applyBorder="1" applyAlignment="1">
      <alignment horizontal="center"/>
    </xf>
    <xf numFmtId="187" fontId="3" fillId="0" borderId="1" xfId="1" applyNumberFormat="1" applyFont="1" applyBorder="1" applyAlignment="1">
      <alignment horizontal="center"/>
    </xf>
    <xf numFmtId="187" fontId="3" fillId="8" borderId="1" xfId="1" applyNumberFormat="1" applyFont="1" applyFill="1" applyBorder="1" applyAlignment="1">
      <alignment horizontal="center"/>
    </xf>
    <xf numFmtId="187" fontId="3" fillId="9" borderId="1" xfId="1" applyNumberFormat="1" applyFont="1" applyFill="1" applyBorder="1" applyAlignment="1">
      <alignment horizontal="center"/>
    </xf>
    <xf numFmtId="187" fontId="3" fillId="10" borderId="1" xfId="1" applyNumberFormat="1" applyFont="1" applyFill="1" applyBorder="1" applyAlignment="1">
      <alignment horizontal="center"/>
    </xf>
    <xf numFmtId="187" fontId="3" fillId="11" borderId="1" xfId="1" applyNumberFormat="1" applyFont="1" applyFill="1" applyBorder="1" applyAlignment="1">
      <alignment horizontal="center"/>
    </xf>
    <xf numFmtId="0" fontId="3" fillId="11" borderId="1" xfId="0" applyFont="1" applyFill="1" applyBorder="1"/>
    <xf numFmtId="187" fontId="4" fillId="11" borderId="1" xfId="1" applyNumberFormat="1" applyFont="1" applyFill="1" applyBorder="1"/>
    <xf numFmtId="187" fontId="6" fillId="11" borderId="1" xfId="1" applyNumberFormat="1" applyFont="1" applyFill="1" applyBorder="1"/>
    <xf numFmtId="2" fontId="3" fillId="0" borderId="1" xfId="1" applyNumberFormat="1" applyFont="1" applyBorder="1"/>
    <xf numFmtId="187" fontId="3" fillId="10" borderId="1" xfId="1" applyNumberFormat="1" applyFont="1" applyFill="1" applyBorder="1" applyAlignment="1">
      <alignment horizontal="center" wrapText="1"/>
    </xf>
    <xf numFmtId="187" fontId="3" fillId="0" borderId="0" xfId="1" applyNumberFormat="1" applyFont="1"/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49" fontId="3" fillId="0" borderId="0" xfId="0" applyNumberFormat="1" applyFont="1"/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187" fontId="3" fillId="0" borderId="1" xfId="1" applyNumberFormat="1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/>
    <xf numFmtId="49" fontId="8" fillId="0" borderId="1" xfId="2" applyNumberFormat="1" applyFont="1" applyBorder="1"/>
    <xf numFmtId="0" fontId="3" fillId="0" borderId="0" xfId="0" applyFont="1" applyAlignment="1">
      <alignment horizontal="left"/>
    </xf>
    <xf numFmtId="1" fontId="3" fillId="0" borderId="0" xfId="1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187" fontId="3" fillId="2" borderId="1" xfId="1" applyNumberFormat="1" applyFont="1" applyFill="1" applyBorder="1"/>
    <xf numFmtId="0" fontId="3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2" borderId="0" xfId="0" applyFont="1" applyFill="1"/>
    <xf numFmtId="0" fontId="3" fillId="0" borderId="2" xfId="0" applyFont="1" applyBorder="1"/>
    <xf numFmtId="0" fontId="3" fillId="0" borderId="7" xfId="0" applyFont="1" applyBorder="1"/>
    <xf numFmtId="0" fontId="3" fillId="2" borderId="2" xfId="0" applyFont="1" applyFill="1" applyBorder="1" applyAlignment="1">
      <alignment horizontal="left"/>
    </xf>
    <xf numFmtId="0" fontId="9" fillId="0" borderId="3" xfId="0" applyFont="1" applyBorder="1"/>
    <xf numFmtId="187" fontId="3" fillId="0" borderId="1" xfId="1" applyNumberFormat="1" applyFont="1" applyBorder="1" applyAlignment="1">
      <alignment vertical="center"/>
    </xf>
    <xf numFmtId="0" fontId="6" fillId="0" borderId="0" xfId="0" applyFont="1"/>
    <xf numFmtId="187" fontId="6" fillId="4" borderId="1" xfId="1" applyNumberFormat="1" applyFont="1" applyFill="1" applyBorder="1" applyAlignment="1">
      <alignment horizontal="center"/>
    </xf>
    <xf numFmtId="187" fontId="6" fillId="4" borderId="1" xfId="1" applyNumberFormat="1" applyFont="1" applyFill="1" applyBorder="1"/>
    <xf numFmtId="0" fontId="6" fillId="3" borderId="1" xfId="0" applyFont="1" applyFill="1" applyBorder="1" applyAlignment="1">
      <alignment horizontal="center"/>
    </xf>
    <xf numFmtId="43" fontId="6" fillId="4" borderId="1" xfId="1" applyNumberFormat="1" applyFont="1" applyFill="1" applyBorder="1"/>
    <xf numFmtId="187" fontId="6" fillId="3" borderId="1" xfId="0" applyNumberFormat="1" applyFont="1" applyFill="1" applyBorder="1"/>
    <xf numFmtId="187" fontId="3" fillId="0" borderId="0" xfId="0" applyNumberFormat="1" applyFont="1"/>
    <xf numFmtId="0" fontId="3" fillId="2" borderId="1" xfId="0" applyFont="1" applyFill="1" applyBorder="1"/>
    <xf numFmtId="0" fontId="8" fillId="0" borderId="3" xfId="2" applyFont="1" applyBorder="1" applyAlignment="1">
      <alignment horizontal="left"/>
    </xf>
    <xf numFmtId="43" fontId="3" fillId="0" borderId="1" xfId="1" applyNumberFormat="1" applyFont="1" applyBorder="1"/>
    <xf numFmtId="187" fontId="3" fillId="0" borderId="1" xfId="0" applyNumberFormat="1" applyFont="1" applyBorder="1"/>
    <xf numFmtId="43" fontId="3" fillId="2" borderId="1" xfId="1" applyNumberFormat="1" applyFont="1" applyFill="1" applyBorder="1"/>
    <xf numFmtId="187" fontId="3" fillId="2" borderId="1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left"/>
    </xf>
    <xf numFmtId="187" fontId="3" fillId="0" borderId="0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center"/>
    </xf>
    <xf numFmtId="49" fontId="8" fillId="0" borderId="1" xfId="2" applyNumberFormat="1" applyFont="1" applyBorder="1" applyAlignment="1">
      <alignment horizontal="center"/>
    </xf>
    <xf numFmtId="0" fontId="2" fillId="0" borderId="0" xfId="2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2"/>
    <xf numFmtId="49" fontId="2" fillId="0" borderId="1" xfId="2" applyNumberFormat="1" applyBorder="1" applyAlignment="1">
      <alignment horizontal="center"/>
    </xf>
    <xf numFmtId="187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87" fontId="3" fillId="0" borderId="1" xfId="1" applyNumberFormat="1" applyFont="1" applyBorder="1" applyAlignment="1">
      <alignment horizontal="center"/>
    </xf>
    <xf numFmtId="187" fontId="4" fillId="0" borderId="1" xfId="1" applyNumberFormat="1" applyFont="1" applyBorder="1"/>
    <xf numFmtId="0" fontId="2" fillId="0" borderId="1" xfId="2" applyBorder="1"/>
    <xf numFmtId="187" fontId="3" fillId="0" borderId="1" xfId="1" applyNumberFormat="1" applyFont="1" applyBorder="1" applyAlignment="1">
      <alignment horizontal="center" vertical="center"/>
    </xf>
    <xf numFmtId="187" fontId="3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87" fontId="10" fillId="0" borderId="1" xfId="1" applyNumberFormat="1" applyFont="1" applyBorder="1"/>
    <xf numFmtId="43" fontId="10" fillId="0" borderId="1" xfId="1" applyFont="1" applyBorder="1"/>
    <xf numFmtId="2" fontId="10" fillId="0" borderId="1" xfId="1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1" applyNumberFormat="1" applyFont="1" applyBorder="1"/>
    <xf numFmtId="187" fontId="11" fillId="0" borderId="1" xfId="1" applyNumberFormat="1" applyFont="1" applyBorder="1"/>
    <xf numFmtId="187" fontId="3" fillId="12" borderId="1" xfId="1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187" fontId="3" fillId="12" borderId="1" xfId="1" applyNumberFormat="1" applyFont="1" applyFill="1" applyBorder="1" applyAlignment="1">
      <alignment horizontal="center" vertical="center"/>
    </xf>
    <xf numFmtId="0" fontId="2" fillId="12" borderId="1" xfId="2" applyFill="1" applyBorder="1" applyAlignment="1">
      <alignment horizontal="center"/>
    </xf>
    <xf numFmtId="0" fontId="3" fillId="12" borderId="0" xfId="0" applyFont="1" applyFill="1"/>
    <xf numFmtId="0" fontId="3" fillId="7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87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1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2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87" fontId="3" fillId="0" borderId="1" xfId="1" applyNumberFormat="1" applyFont="1" applyBorder="1" applyAlignment="1">
      <alignment horizontal="center" vertical="center"/>
    </xf>
    <xf numFmtId="187" fontId="3" fillId="0" borderId="1" xfId="1" applyNumberFormat="1" applyFont="1" applyBorder="1" applyAlignment="1">
      <alignment horizontal="center"/>
    </xf>
    <xf numFmtId="187" fontId="3" fillId="12" borderId="1" xfId="1" applyNumberFormat="1" applyFont="1" applyFill="1" applyBorder="1" applyAlignment="1">
      <alignment horizontal="center"/>
    </xf>
    <xf numFmtId="187" fontId="3" fillId="12" borderId="3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87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187" fontId="3" fillId="0" borderId="1" xfId="1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88" fontId="3" fillId="0" borderId="1" xfId="1" applyNumberFormat="1" applyFont="1" applyBorder="1" applyAlignment="1">
      <alignment horizontal="center"/>
    </xf>
    <xf numFmtId="187" fontId="3" fillId="0" borderId="1" xfId="1" applyNumberFormat="1" applyFont="1" applyBorder="1" applyAlignment="1">
      <alignment horizontal="center"/>
    </xf>
    <xf numFmtId="187" fontId="3" fillId="0" borderId="2" xfId="1" applyNumberFormat="1" applyFont="1" applyBorder="1" applyAlignment="1">
      <alignment horizontal="center"/>
    </xf>
    <xf numFmtId="187" fontId="3" fillId="0" borderId="4" xfId="1" applyNumberFormat="1" applyFont="1" applyBorder="1" applyAlignment="1">
      <alignment horizontal="center"/>
    </xf>
    <xf numFmtId="43" fontId="3" fillId="12" borderId="1" xfId="1" applyFont="1" applyFill="1" applyBorder="1" applyAlignment="1">
      <alignment horizontal="center" vertical="center"/>
    </xf>
    <xf numFmtId="187" fontId="3" fillId="12" borderId="2" xfId="1" applyNumberFormat="1" applyFont="1" applyFill="1" applyBorder="1" applyAlignment="1">
      <alignment horizontal="center" vertical="center"/>
    </xf>
    <xf numFmtId="187" fontId="3" fillId="12" borderId="3" xfId="1" applyNumberFormat="1" applyFont="1" applyFill="1" applyBorder="1" applyAlignment="1">
      <alignment horizontal="center" vertical="center"/>
    </xf>
    <xf numFmtId="187" fontId="3" fillId="12" borderId="4" xfId="1" applyNumberFormat="1" applyFont="1" applyFill="1" applyBorder="1" applyAlignment="1">
      <alignment horizontal="center" vertical="center"/>
    </xf>
    <xf numFmtId="187" fontId="3" fillId="12" borderId="1" xfId="1" applyNumberFormat="1" applyFont="1" applyFill="1" applyBorder="1" applyAlignment="1">
      <alignment horizontal="center" vertical="center"/>
    </xf>
    <xf numFmtId="187" fontId="6" fillId="5" borderId="1" xfId="1" applyNumberFormat="1" applyFont="1" applyFill="1" applyBorder="1" applyAlignment="1">
      <alignment horizontal="center"/>
    </xf>
    <xf numFmtId="189" fontId="3" fillId="6" borderId="2" xfId="1" applyNumberFormat="1" applyFont="1" applyFill="1" applyBorder="1" applyAlignment="1">
      <alignment horizontal="center" vertical="center"/>
    </xf>
    <xf numFmtId="189" fontId="3" fillId="6" borderId="3" xfId="1" applyNumberFormat="1" applyFont="1" applyFill="1" applyBorder="1" applyAlignment="1">
      <alignment horizontal="center" vertical="center"/>
    </xf>
    <xf numFmtId="189" fontId="3" fillId="6" borderId="4" xfId="1" applyNumberFormat="1" applyFont="1" applyFill="1" applyBorder="1" applyAlignment="1">
      <alignment horizontal="center" vertical="center"/>
    </xf>
    <xf numFmtId="187" fontId="3" fillId="12" borderId="2" xfId="1" applyNumberFormat="1" applyFont="1" applyFill="1" applyBorder="1" applyAlignment="1">
      <alignment horizontal="center"/>
    </xf>
    <xf numFmtId="187" fontId="3" fillId="12" borderId="3" xfId="1" applyNumberFormat="1" applyFont="1" applyFill="1" applyBorder="1" applyAlignment="1">
      <alignment horizontal="center"/>
    </xf>
    <xf numFmtId="187" fontId="3" fillId="12" borderId="4" xfId="1" applyNumberFormat="1" applyFont="1" applyFill="1" applyBorder="1" applyAlignment="1">
      <alignment horizontal="center"/>
    </xf>
    <xf numFmtId="187" fontId="3" fillId="0" borderId="0" xfId="1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8" fillId="0" borderId="0" xfId="2" applyFont="1"/>
    <xf numFmtId="188" fontId="3" fillId="12" borderId="1" xfId="1" applyNumberFormat="1" applyFont="1" applyFill="1" applyBorder="1" applyAlignment="1">
      <alignment horizontal="center"/>
    </xf>
    <xf numFmtId="187" fontId="3" fillId="12" borderId="1" xfId="1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  <color rgb="FFFFFFCC"/>
      <color rgb="FFFF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8.pdf" TargetMode="External"/><Relationship Id="rId3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3.pdf" TargetMode="External"/><Relationship Id="rId7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7.pdf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2.pdf" TargetMode="External"/><Relationship Id="rId1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1.pdf" TargetMode="External"/><Relationship Id="rId6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6.pdf" TargetMode="External"/><Relationship Id="rId11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11.pdf" TargetMode="External"/><Relationship Id="rId5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5.pdf" TargetMode="External"/><Relationship Id="rId10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10.pdf" TargetMode="External"/><Relationship Id="rId4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4.pdf" TargetMode="External"/><Relationship Id="rId9" Type="http://schemas.openxmlformats.org/officeDocument/2006/relationships/hyperlink" Target="file:///C:\Users\HP%204300\Downloads\&#3585;&#3634;&#3619;&#3650;&#3629;&#3609;&#3648;&#3611;&#3621;&#3637;&#3656;&#3618;&#3609;&#3649;&#3611;&#3621;&#3591;&#3591;&#3610;&#3611;&#3619;&#3632;&#3617;&#3634;&#3603;%2065\009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3.pdf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2.pdf" TargetMode="External"/><Relationship Id="rId1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1.pdf" TargetMode="External"/><Relationship Id="rId6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6.pdf" TargetMode="External"/><Relationship Id="rId5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5.pdf" TargetMode="External"/><Relationship Id="rId4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4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HP%204300\Desktop" TargetMode="External"/><Relationship Id="rId1" Type="http://schemas.openxmlformats.org/officeDocument/2006/relationships/hyperlink" Target="file:///C:\Users\HP%204300\Downloads\Budget%2065\&#3626;&#3629;&#3609;&#3648;&#3585;&#3636;&#3609;&#3616;&#3634;&#3619;&#3632;&#3591;&#3634;&#3609;001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92;&#3657;&#3634;&#3591;&#3588;&#3619;&#3641;003.pdf" TargetMode="External"/><Relationship Id="rId2" Type="http://schemas.openxmlformats.org/officeDocument/2006/relationships/hyperlink" Target="file:///C:\Users\HP%204300\Downloads\Budget%2065\&#3588;&#3656;&#3634;&#3592;&#3657;&#3634;&#3591;&#3588;&#3619;&#3641;002.pdf" TargetMode="External"/><Relationship Id="rId1" Type="http://schemas.openxmlformats.org/officeDocument/2006/relationships/hyperlink" Target="file:///C:\Users\HP%204300\Downloads\Budget%2065\&#3588;&#3656;&#3634;&#3592;&#3657;&#3634;&#3591;&#3588;&#3619;&#3641;001.pdf" TargetMode="External"/><Relationship Id="rId4" Type="http://schemas.openxmlformats.org/officeDocument/2006/relationships/hyperlink" Target="file:///C:\Users\HP%204300\Downloads\Budget%2065\&#3588;&#3656;&#3634;&#3592;&#3657;&#3634;&#3591;&#3588;&#3619;&#3641;004.pd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92;&#3657;&#3634;&#3591;&#3648;&#3592;&#3657;&#3634;&#3627;&#3609;&#3657;&#3634;&#3607;&#3637;&#3656;003.pdf" TargetMode="External"/><Relationship Id="rId2" Type="http://schemas.openxmlformats.org/officeDocument/2006/relationships/hyperlink" Target="file:///C:\Users\HP%204300\Downloads\Budget%2065\&#3588;&#3656;&#3634;&#3592;&#3657;&#3634;&#3591;&#3648;&#3592;&#3657;&#3634;&#3627;&#3609;&#3657;&#3634;&#3607;&#3637;&#3656;002.pdf" TargetMode="External"/><Relationship Id="rId1" Type="http://schemas.openxmlformats.org/officeDocument/2006/relationships/hyperlink" Target="file:///C:\Users\HP%204300\Downloads\Budget%2065\&#3588;&#3656;&#3634;&#3592;&#3657;&#3634;&#3591;&#3648;&#3592;&#3657;&#3634;&#3627;&#3609;&#3657;&#3634;&#3607;&#3637;&#3656;001.pdf" TargetMode="External"/><Relationship Id="rId4" Type="http://schemas.openxmlformats.org/officeDocument/2006/relationships/hyperlink" Target="file:///C:\Users\HP%204300\Downloads\Budget%2065\&#3626;&#3617;&#3607;&#3610;&#3611;&#3619;&#3632;&#3585;&#3633;&#3609;&#3626;&#3633;&#3591;&#3588;&#3617;%20&#3592;&#3609;&#3607;.003.pdf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588;&#3656;&#3634;&#3595;&#3656;&#3629;&#3617;&#3618;&#3634;&#3609;&#3614;&#3634;&#3627;&#3609;&#3632;001.pdf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3.pdf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2.pdf" TargetMode="External"/><Relationship Id="rId1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1.pdf" TargetMode="External"/><Relationship Id="rId6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6.pdf" TargetMode="External"/><Relationship Id="rId5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5.pdf" TargetMode="External"/><Relationship Id="rId4" Type="http://schemas.openxmlformats.org/officeDocument/2006/relationships/hyperlink" Target="file:///C:\Users\HP%204300\Downloads\Budget%2065\&#3588;&#3656;&#3634;&#3595;&#3656;&#3629;&#3617;&#3649;&#3595;&#3617;%20&#3614;&#3633;&#3602;&#3609;&#3634;&#3591;&#3634;&#3609;&#3629;&#3634;&#3588;&#3634;&#3619;004.pdf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8.pdf" TargetMode="External"/><Relationship Id="rId3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3.pdf" TargetMode="External"/><Relationship Id="rId7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7.pdf" TargetMode="External"/><Relationship Id="rId12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12.pdf" TargetMode="External"/><Relationship Id="rId2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2.pdf" TargetMode="External"/><Relationship Id="rId1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1.pdf" TargetMode="External"/><Relationship Id="rId6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6.pdf" TargetMode="External"/><Relationship Id="rId11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11.pdf" TargetMode="External"/><Relationship Id="rId5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5.pdf" TargetMode="External"/><Relationship Id="rId10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10.pdf" TargetMode="External"/><Relationship Id="rId4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4.pdf" TargetMode="External"/><Relationship Id="rId9" Type="http://schemas.openxmlformats.org/officeDocument/2006/relationships/hyperlink" Target="file:///C:\Users\HP%204300\Downloads\Budget%2065\&#3588;&#3656;&#3634;&#3651;&#3594;&#3657;&#3592;&#3656;&#3634;&#3618;&#3648;&#3604;&#3636;&#3609;&#3607;&#3634;&#3591;&#3619;&#3634;&#3594;&#3585;&#3634;&#3619;009.pdf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588;&#3639;&#3609;&#3588;&#3619;&#3641;&#3651;&#3627;&#3657;&#3609;&#3633;&#3585;&#3648;&#3619;&#3637;&#3618;&#3609;003.pdf" TargetMode="External"/><Relationship Id="rId3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3.pdf" TargetMode="External"/><Relationship Id="rId7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5.pdf" TargetMode="External"/><Relationship Id="rId2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2.pdf" TargetMode="External"/><Relationship Id="rId1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1.pdf" TargetMode="External"/><Relationship Id="rId6" Type="http://schemas.openxmlformats.org/officeDocument/2006/relationships/hyperlink" Target="file:///C:\Users\HP%204300\Downloads\Budget%2065\&#3588;&#3639;&#3609;&#3588;&#3619;&#3641;&#3651;&#3627;&#3657;&#3609;&#3633;&#3585;&#3648;&#3619;&#3637;&#3618;&#3609;002.pdf" TargetMode="External"/><Relationship Id="rId11" Type="http://schemas.openxmlformats.org/officeDocument/2006/relationships/hyperlink" Target="file:///C:\Users\HP%204300\Downloads\Budget%2065\&#3626;&#3617;&#3607;&#3610;&#3611;&#3619;&#3632;&#3585;&#3633;&#3609;&#3626;&#3633;&#3591;&#3588;&#3617;%20&#3614;&#3619;&#3585;.002.pdf" TargetMode="External"/><Relationship Id="rId5" Type="http://schemas.openxmlformats.org/officeDocument/2006/relationships/hyperlink" Target="file:///C:\Users\HP%204300\Downloads\Budget%2065\&#3588;&#3639;&#3609;&#3588;&#3619;&#3641;&#3651;&#3627;&#3657;&#3609;&#3633;&#3585;&#3648;&#3619;&#3637;&#3618;&#3609;001.pdf" TargetMode="External"/><Relationship Id="rId10" Type="http://schemas.openxmlformats.org/officeDocument/2006/relationships/hyperlink" Target="file:///C:\Users\HP%204300\Downloads\Budget%2065\&#3648;&#3619;&#3656;&#3591;&#3611;&#3619;&#3632;&#3626;&#3636;&#3607;&#3608;&#3636;&#3616;&#3634;&#3614;&#3588;&#3619;&#3640;&#3641;002.pdf" TargetMode="External"/><Relationship Id="rId4" Type="http://schemas.openxmlformats.org/officeDocument/2006/relationships/hyperlink" Target="file:///C:\Users\HP%204300\Downloads\Budget%2065\&#3648;&#3591;&#3636;&#3609;&#3648;&#3604;&#3639;&#3629;&#3609;&#3614;&#3609;&#3633;&#3585;&#3591;&#3634;&#3609;&#3619;&#3634;&#3594;&#3585;&#3634;&#3619;004.pdf" TargetMode="External"/><Relationship Id="rId9" Type="http://schemas.openxmlformats.org/officeDocument/2006/relationships/hyperlink" Target="file:///C:\Users\HP%204300\Downloads\Budget%2065\&#3588;&#3639;&#3609;&#3588;&#3619;&#3641;&#3651;&#3627;&#3657;&#3609;&#3633;&#3585;&#3648;&#3619;&#3637;&#3618;&#3609;004.pdf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92;&#3657;&#3634;&#3591;&#3588;&#3619;&#3641;003.pdf" TargetMode="External"/><Relationship Id="rId2" Type="http://schemas.openxmlformats.org/officeDocument/2006/relationships/hyperlink" Target="file:///C:\Users\HP%204300\Downloads\Budget%2065\&#3588;&#3656;&#3634;&#3592;&#3657;&#3634;&#3591;&#3588;&#3619;&#3641;002.pdf" TargetMode="External"/><Relationship Id="rId1" Type="http://schemas.openxmlformats.org/officeDocument/2006/relationships/hyperlink" Target="file:///C:\Users\HP%204300\Downloads\Budget%2065\&#3588;&#3656;&#3634;&#3592;&#3657;&#3634;&#3591;&#3588;&#3619;&#3641;001.pdf" TargetMode="External"/><Relationship Id="rId6" Type="http://schemas.openxmlformats.org/officeDocument/2006/relationships/hyperlink" Target="file:///C:\Users\HP%204300\Downloads\Budget%2065\&#3626;&#3617;&#3607;&#3610;&#3611;&#3619;&#3632;&#3585;&#3633;&#3609;&#3626;&#3633;&#3591;&#3588;&#3617;%20&#3588;&#3619;&#3641;.002.pdf" TargetMode="External"/><Relationship Id="rId5" Type="http://schemas.openxmlformats.org/officeDocument/2006/relationships/hyperlink" Target="file:///C:\Users\HP%204300\Downloads\Budget%2065\&#3626;&#3617;&#3607;&#3610;&#3611;&#3619;&#3632;&#3585;&#3633;&#3609;&#3626;&#3633;&#3591;&#3588;&#3617;%20&#3588;&#3619;&#3641;.001.pdf" TargetMode="External"/><Relationship Id="rId4" Type="http://schemas.openxmlformats.org/officeDocument/2006/relationships/hyperlink" Target="file:///C:\Users\HP%204300\Downloads\Budget%2065\&#3588;&#3656;&#3634;&#3592;&#3657;&#3634;&#3591;&#3588;&#3619;&#3641;004.pdf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92;&#3657;&#3634;&#3591;&#3648;&#3592;&#3657;&#3634;&#3627;&#3609;&#3657;&#3634;&#3607;&#3637;&#3656;003.pdf" TargetMode="External"/><Relationship Id="rId2" Type="http://schemas.openxmlformats.org/officeDocument/2006/relationships/hyperlink" Target="file:///C:\Users\HP%204300\Downloads\Budget%2065\&#3588;&#3656;&#3634;&#3592;&#3657;&#3634;&#3591;&#3648;&#3592;&#3657;&#3634;&#3627;&#3609;&#3657;&#3634;&#3607;&#3637;&#3656;002.pdf" TargetMode="External"/><Relationship Id="rId1" Type="http://schemas.openxmlformats.org/officeDocument/2006/relationships/hyperlink" Target="file:///C:\Users\HP%204300\Downloads\Budget%2065\&#3588;&#3656;&#3634;&#3592;&#3657;&#3634;&#3591;&#3648;&#3592;&#3657;&#3634;&#3627;&#3609;&#3657;&#3634;&#3607;&#3637;&#3656;001.pdf" TargetMode="External"/><Relationship Id="rId6" Type="http://schemas.openxmlformats.org/officeDocument/2006/relationships/hyperlink" Target="file:///C:\Users\HP%204300\Downloads\Budget%2065\&#3626;&#3617;&#3607;&#3610;&#3611;&#3619;&#3632;&#3585;&#3633;&#3609;&#3626;&#3633;&#3591;&#3588;&#3617;%20&#3592;&#3609;&#3607;.004.pdf" TargetMode="External"/><Relationship Id="rId5" Type="http://schemas.openxmlformats.org/officeDocument/2006/relationships/hyperlink" Target="file:///C:\Users\HP%204300\Downloads\Budget%2065\&#3626;&#3617;&#3607;&#3610;&#3611;&#3619;&#3632;&#3585;&#3633;&#3609;&#3626;&#3633;&#3591;&#3588;&#3617;%20&#3592;&#3609;&#3607;.002.pdf" TargetMode="External"/><Relationship Id="rId4" Type="http://schemas.openxmlformats.org/officeDocument/2006/relationships/hyperlink" Target="file:///C:\Users\HP%204300\Downloads\Budget%2065\&#3626;&#3617;&#3607;&#3610;&#3611;&#3619;&#3632;&#3585;&#3633;&#3609;&#3626;&#3633;&#3591;&#3588;&#3617;%20&#3592;&#3609;&#3607;.001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609;&#3657;&#3635;&#3617;&#3633;&#3609;003.pdf" TargetMode="External"/><Relationship Id="rId7" Type="http://schemas.openxmlformats.org/officeDocument/2006/relationships/hyperlink" Target="file:///C:\Users\HP%204300\Downloads\Budget%2065\&#3588;&#3656;&#3634;&#3609;&#3657;&#3635;&#3617;&#3633;&#3609;007.pdf" TargetMode="External"/><Relationship Id="rId2" Type="http://schemas.openxmlformats.org/officeDocument/2006/relationships/hyperlink" Target="file:///C:\Users\HP%204300\Downloads\Budget%2065\&#3588;&#3656;&#3634;&#3609;&#3657;&#3635;&#3617;&#3633;&#3609;002.pdf" TargetMode="External"/><Relationship Id="rId1" Type="http://schemas.openxmlformats.org/officeDocument/2006/relationships/hyperlink" Target="file:///C:\Users\HP%204300\Downloads\Budget%2065\&#3588;&#3656;&#3634;&#3609;&#3657;&#3635;&#3617;&#3633;&#3609;001.pdf" TargetMode="External"/><Relationship Id="rId6" Type="http://schemas.openxmlformats.org/officeDocument/2006/relationships/hyperlink" Target="file:///C:\Users\HP%204300\Downloads\Budget%2065\&#3588;&#3656;&#3634;&#3609;&#3657;&#3635;&#3617;&#3633;&#3609;006.pdf" TargetMode="External"/><Relationship Id="rId5" Type="http://schemas.openxmlformats.org/officeDocument/2006/relationships/hyperlink" Target="file:///C:\Users\HP%204300\Downloads\Budget%2065\&#3588;&#3656;&#3634;&#3609;&#3657;&#3635;&#3617;&#3633;&#3609;005.pdf" TargetMode="External"/><Relationship Id="rId4" Type="http://schemas.openxmlformats.org/officeDocument/2006/relationships/hyperlink" Target="file:///C:\Users\HP%204300\Downloads\Budget%2065\&#3588;&#3656;&#3634;&#3609;&#3657;&#3635;&#3617;&#3633;&#3609;004.pdf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586;&#3618;&#3632;&#3617;&#3641;&#3621;&#3613;&#3629;&#3618;003.pdf" TargetMode="External"/><Relationship Id="rId2" Type="http://schemas.openxmlformats.org/officeDocument/2006/relationships/hyperlink" Target="file:///C:\Users\HP%204300\Downloads\Budget%2065\&#3588;&#3656;&#3634;&#3586;&#3618;&#3632;&#3617;&#3641;&#3621;&#3613;&#3629;&#3618;002.pdf" TargetMode="External"/><Relationship Id="rId1" Type="http://schemas.openxmlformats.org/officeDocument/2006/relationships/hyperlink" Target="file:///C:\Users\HP%204300\Downloads\Budget%2065\&#3588;&#3656;&#3634;&#3586;&#3618;&#3632;&#3617;&#3641;&#3621;&#3613;&#3629;&#3618;001.pdf" TargetMode="External"/><Relationship Id="rId5" Type="http://schemas.openxmlformats.org/officeDocument/2006/relationships/hyperlink" Target="file:///C:\Users\HP%204300\Downloads\Budget%2065\&#3588;&#3656;&#3634;&#3586;&#3618;&#3632;&#3617;&#3641;&#3621;&#3613;&#3629;&#3618;005.pdf" TargetMode="External"/><Relationship Id="rId4" Type="http://schemas.openxmlformats.org/officeDocument/2006/relationships/hyperlink" Target="file:///C:\Users\HP%204300\Downloads\Budget%2065\&#3588;&#3656;&#3634;&#3586;&#3618;&#3632;&#3617;&#3641;&#3621;&#3613;&#3629;&#3618;004.pdf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588;&#3656;&#3634;&#3650;&#3604;&#3648;&#3617;&#3609;&#3648;&#3609;&#3617;001.pdf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585;&#3629;&#3591;&#3607;&#3640;&#3609;&#3648;&#3591;&#3636;&#3609;&#3607;&#3604;&#3649;&#3607;&#3609;001.pdf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8.pdf" TargetMode="External"/><Relationship Id="rId13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13.pdf" TargetMode="External"/><Relationship Id="rId3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3.pdf" TargetMode="External"/><Relationship Id="rId7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7.pdf" TargetMode="External"/><Relationship Id="rId12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12.pdf" TargetMode="External"/><Relationship Id="rId2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2.pdf" TargetMode="External"/><Relationship Id="rId1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1.pdf" TargetMode="External"/><Relationship Id="rId6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6.pdf" TargetMode="External"/><Relationship Id="rId11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11.pdf" TargetMode="External"/><Relationship Id="rId5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5.pdf" TargetMode="External"/><Relationship Id="rId10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10.pdf" TargetMode="External"/><Relationship Id="rId4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4.pdf" TargetMode="External"/><Relationship Id="rId9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09.pdf" TargetMode="External"/><Relationship Id="rId14" Type="http://schemas.openxmlformats.org/officeDocument/2006/relationships/hyperlink" Target="file:///C:\Users\HP%204300\Downloads\Budget%2065\&#3649;&#3612;&#3609;&#3585;&#3623;&#3636;&#3594;&#3634;&#3594;&#3656;&#3634;&#3591;&#3585;&#3656;&#3629;&#3626;&#3619;&#3657;&#3634;&#3591;014.pdf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649;&#3612;&#3609;&#3585;&#3623;&#3636;&#3594;&#3634;&#3594;&#3656;&#3634;&#3591;&#3618;&#3609;&#3605;&#3660;008.pdf" TargetMode="External"/><Relationship Id="rId3" Type="http://schemas.openxmlformats.org/officeDocument/2006/relationships/hyperlink" Target="file:///C:\Users\HP%204300\Downloads\Budget%2065\&#3649;&#3612;&#3609;&#3585;&#3623;&#3636;&#3594;&#3634;&#3594;&#3656;&#3634;&#3591;&#3618;&#3609;&#3605;&#3660;003.pdf" TargetMode="External"/><Relationship Id="rId7" Type="http://schemas.openxmlformats.org/officeDocument/2006/relationships/hyperlink" Target="file:///C:\Users\HP%204300\Downloads\Budget%2065\&#3649;&#3612;&#3609;&#3585;&#3623;&#3636;&#3594;&#3634;&#3594;&#3656;&#3634;&#3591;&#3618;&#3609;&#3605;&#3660;007.pdf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file:///C:\Users\HP%204300\Downloads\Budget%2065\&#3649;&#3612;&#3609;&#3585;&#3623;&#3636;&#3594;&#3634;&#3594;&#3656;&#3634;&#3591;&#3618;&#3609;&#3605;&#3660;002.pdf" TargetMode="External"/><Relationship Id="rId1" Type="http://schemas.openxmlformats.org/officeDocument/2006/relationships/hyperlink" Target="file:///C:\Users\HP%204300\Downloads\Budget%2065\&#3649;&#3612;&#3609;&#3585;&#3623;&#3636;&#3594;&#3634;&#3594;&#3656;&#3634;&#3591;&#3618;&#3609;&#3605;&#3660;001.pdf" TargetMode="External"/><Relationship Id="rId6" Type="http://schemas.openxmlformats.org/officeDocument/2006/relationships/hyperlink" Target="file:///C:\Users\HP%204300\Downloads\Budget%2065\&#3649;&#3612;&#3609;&#3585;&#3623;&#3636;&#3594;&#3634;&#3594;&#3656;&#3634;&#3591;&#3618;&#3609;&#3605;&#3660;006.pdf" TargetMode="External"/><Relationship Id="rId11" Type="http://schemas.openxmlformats.org/officeDocument/2006/relationships/hyperlink" Target="file:///C:\Users\HP%204300\Downloads\Budget%2065\&#3649;&#3612;&#3609;&#3585;&#3623;&#3636;&#3594;&#3634;&#3594;&#3656;&#3634;&#3591;&#3618;&#3609;&#3605;&#3660;011.pdf" TargetMode="External"/><Relationship Id="rId5" Type="http://schemas.openxmlformats.org/officeDocument/2006/relationships/hyperlink" Target="file:///C:\Users\HP%204300\Downloads\Budget%2065\&#3649;&#3612;&#3609;&#3585;&#3623;&#3636;&#3594;&#3634;&#3594;&#3656;&#3634;&#3591;&#3618;&#3609;&#3605;&#3660;005.pdf" TargetMode="External"/><Relationship Id="rId10" Type="http://schemas.openxmlformats.org/officeDocument/2006/relationships/hyperlink" Target="file:///C:\Users\HP%204300\Downloads\Budget%2065\&#3649;&#3612;&#3609;&#3585;&#3623;&#3636;&#3594;&#3634;&#3594;&#3656;&#3634;&#3591;&#3618;&#3609;&#3605;&#3660;010.pdf" TargetMode="External"/><Relationship Id="rId4" Type="http://schemas.openxmlformats.org/officeDocument/2006/relationships/hyperlink" Target="file:///C:\Users\HP%204300\Downloads\Budget%2065\&#3649;&#3612;&#3609;&#3585;&#3623;&#3636;&#3594;&#3634;&#3594;&#3656;&#3634;&#3591;&#3618;&#3609;&#3605;&#3660;004.pdf" TargetMode="External"/><Relationship Id="rId9" Type="http://schemas.openxmlformats.org/officeDocument/2006/relationships/hyperlink" Target="file:///C:\Users\HP%204300\Downloads\Budget%2065\&#3649;&#3612;&#3609;&#3585;&#3623;&#3636;&#3594;&#3634;&#3594;&#3656;&#3634;&#3591;&#3618;&#3609;&#3605;&#3660;009.pdf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649;&#3612;&#3609;&#3585;&#3594;&#3656;&#3634;&#3591;&#3652;&#3615;&#3615;&#3657;&#3634;008.pdf" TargetMode="External"/><Relationship Id="rId3" Type="http://schemas.openxmlformats.org/officeDocument/2006/relationships/hyperlink" Target="file:///C:\Users\HP%204300\Downloads\Budget%2065\&#3649;&#3612;&#3609;&#3585;&#3594;&#3656;&#3634;&#3591;&#3652;&#3615;&#3615;&#3657;&#3634;003.pdf" TargetMode="External"/><Relationship Id="rId7" Type="http://schemas.openxmlformats.org/officeDocument/2006/relationships/hyperlink" Target="file:///C:\Users\HP%204300\Downloads\Budget%2065\&#3649;&#3612;&#3609;&#3585;&#3594;&#3656;&#3634;&#3591;&#3652;&#3615;&#3615;&#3657;&#3634;007.pdf" TargetMode="External"/><Relationship Id="rId2" Type="http://schemas.openxmlformats.org/officeDocument/2006/relationships/hyperlink" Target="file:///C:\Users\HP%204300\Downloads\Budget%2065\&#3649;&#3612;&#3609;&#3585;&#3594;&#3656;&#3634;&#3591;&#3652;&#3615;&#3615;&#3657;&#3634;002.pdf" TargetMode="External"/><Relationship Id="rId1" Type="http://schemas.openxmlformats.org/officeDocument/2006/relationships/hyperlink" Target="file:///C:\Users\HP%204300\Downloads\Budget%2065\&#3649;&#3612;&#3609;&#3585;&#3594;&#3656;&#3634;&#3591;&#3652;&#3615;&#3615;&#3657;&#3634;001.pdf" TargetMode="External"/><Relationship Id="rId6" Type="http://schemas.openxmlformats.org/officeDocument/2006/relationships/hyperlink" Target="file:///C:\Users\HP%204300\Downloads\Budget%2065\&#3649;&#3612;&#3609;&#3585;&#3594;&#3656;&#3634;&#3591;&#3652;&#3615;&#3615;&#3657;&#3634;006.pdf" TargetMode="External"/><Relationship Id="rId5" Type="http://schemas.openxmlformats.org/officeDocument/2006/relationships/hyperlink" Target="file:///C:\Users\HP%204300\Downloads\Budget%2065\&#3649;&#3612;&#3609;&#3585;&#3594;&#3656;&#3634;&#3591;&#3652;&#3615;&#3615;&#3657;&#3634;005.pdf" TargetMode="External"/><Relationship Id="rId4" Type="http://schemas.openxmlformats.org/officeDocument/2006/relationships/hyperlink" Target="file:///C:\Users\HP%204300\Downloads\Budget%2065\&#3649;&#3612;&#3609;&#3585;&#3594;&#3656;&#3634;&#3591;&#3652;&#3615;&#3615;&#3657;&#3634;004.pdf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3.pdf" TargetMode="External"/><Relationship Id="rId2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2.pdf" TargetMode="External"/><Relationship Id="rId1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1.pdf" TargetMode="External"/><Relationship Id="rId6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6.pdf" TargetMode="External"/><Relationship Id="rId5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5.pdf" TargetMode="External"/><Relationship Id="rId4" Type="http://schemas.openxmlformats.org/officeDocument/2006/relationships/hyperlink" Target="file:///C:\Users\HP%204300\Downloads\Budget%2065\&#3649;&#3612;&#3609;&#3585;&#3623;&#3636;&#3594;&#3634;&#3629;&#3636;&#3648;&#3621;&#3655;&#3585;&#3607;&#3619;&#3629;&#3609;&#3636;&#3585;&#3626;&#3660;004.pdf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649;&#3612;&#3609;&#3585;&#3623;&#3636;&#3594;&#3634;&#3648;&#3607;&#3588;&#3650;&#3609;&#3650;&#3621;&#3618;&#3637;003.pdf" TargetMode="External"/><Relationship Id="rId2" Type="http://schemas.openxmlformats.org/officeDocument/2006/relationships/hyperlink" Target="file:///C:\Users\HP%204300\Downloads\Budget%2065\&#3649;&#3612;&#3609;&#3585;&#3623;&#3636;&#3594;&#3634;&#3648;&#3607;&#3588;&#3650;&#3609;&#3650;&#3621;&#3618;&#3637;002.pdf" TargetMode="External"/><Relationship Id="rId1" Type="http://schemas.openxmlformats.org/officeDocument/2006/relationships/hyperlink" Target="file:///C:\Users\HP%204300\Downloads\Budget%2065\&#3649;&#3612;&#3609;&#3585;&#3623;&#3636;&#3594;&#3634;&#3648;&#3607;&#3588;&#3650;&#3609;&#3650;&#3621;&#3618;&#3637;001.pdf" TargetMode="External"/><Relationship Id="rId4" Type="http://schemas.openxmlformats.org/officeDocument/2006/relationships/hyperlink" Target="file:///C:\Users\HP%204300\Downloads\Budget%2065\&#3649;&#3612;&#3609;&#3585;&#3623;&#3636;&#3594;&#3634;&#3648;&#3607;&#3588;&#3650;&#3609;&#3650;&#3621;&#3618;&#3637;004.pdf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649;&#3612;&#3609;&#3585;&#3623;&#3636;&#3594;&#3634;&#3614;&#3639;&#3657;&#3609;&#3600;&#3634;&#3609;003.pdf" TargetMode="External"/><Relationship Id="rId2" Type="http://schemas.openxmlformats.org/officeDocument/2006/relationships/hyperlink" Target="file:///C:\Users\HP%204300\Downloads\Budget%2065\&#3649;&#3612;&#3609;&#3585;&#3623;&#3636;&#3594;&#3634;&#3614;&#3639;&#3657;&#3609;&#3600;&#3634;&#3609;002.pdf" TargetMode="External"/><Relationship Id="rId1" Type="http://schemas.openxmlformats.org/officeDocument/2006/relationships/hyperlink" Target="file:///C:\Users\HP%204300\Downloads\Budget%2065\&#3649;&#3612;&#3609;&#3585;&#3623;&#3636;&#3594;&#3634;&#3614;&#3639;&#3657;&#3609;&#3600;&#3634;&#3609;001.pdf" TargetMode="External"/><Relationship Id="rId4" Type="http://schemas.openxmlformats.org/officeDocument/2006/relationships/hyperlink" Target="file:///C:\Users\HP%204300\Downloads\Budget%2065\&#3649;&#3612;&#3609;&#3585;&#3623;&#3636;&#3594;&#3634;&#3614;&#3639;&#3657;&#3609;&#3600;&#3634;&#3609;004.pdf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HP%204300\Downloads\Budget%2065\&#3649;&#3612;&#3609;&#3585;&#3623;&#3636;&#3594;&#3634;&#3626;&#3634;&#3617;&#3633;&#3597;002.pdf" TargetMode="External"/><Relationship Id="rId1" Type="http://schemas.openxmlformats.org/officeDocument/2006/relationships/hyperlink" Target="file:///C:\Users\HP%204300\Downloads\Budget%2065\&#3649;&#3612;&#3609;&#3585;&#3623;&#3636;&#3594;&#3634;&#3626;&#3634;&#3617;&#3633;&#3597;001.pdf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HP%204300\Downloads\Budget%2065\&#3613;&#3656;&#3634;&#3618;&#3614;&#3633;&#3602;&#3609;&#3634;&#3585;&#3636;&#3592;&#3585;&#3634;&#3619;002.pdf" TargetMode="External"/><Relationship Id="rId1" Type="http://schemas.openxmlformats.org/officeDocument/2006/relationships/hyperlink" Target="file:///C:\Users\HP%204300\Downloads\Budget%2065\&#3613;&#3656;&#3634;&#3618;&#3614;&#3633;&#3602;&#3609;&#3634;&#3585;&#3636;&#3592;&#3585;&#3634;&#3619;001.pdf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613;&#3656;&#3634;&#3618;&#3649;&#3612;&#3609;&#3591;&#3634;&#3609;001.pdf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613;&#3656;&#3634;&#3618;&#3610;&#3619;&#3636;&#3627;&#3634;&#3619;&#3607;&#3619;&#3633;&#3614;&#3618;&#3660;008.pdf" TargetMode="External"/><Relationship Id="rId3" Type="http://schemas.openxmlformats.org/officeDocument/2006/relationships/hyperlink" Target="file:///C:\Users\HP%204300\Downloads\Budget%2065\&#3613;&#3656;&#3634;&#3618;&#3610;&#3619;&#3636;&#3627;&#3634;&#3619;&#3607;&#3619;&#3633;&#3614;&#3618;&#3660;003.pdf" TargetMode="External"/><Relationship Id="rId7" Type="http://schemas.openxmlformats.org/officeDocument/2006/relationships/hyperlink" Target="file:///C:\Users\HP%204300\Downloads\Budget%2065\&#3613;&#3656;&#3634;&#3618;&#3610;&#3619;&#3636;&#3627;&#3634;&#3619;&#3607;&#3619;&#3633;&#3614;&#3618;&#3660;007.pdf" TargetMode="External"/><Relationship Id="rId2" Type="http://schemas.openxmlformats.org/officeDocument/2006/relationships/hyperlink" Target="file:///C:\Users\HP%204300\Downloads\Budget%2065\&#3613;&#3656;&#3634;&#3618;&#3610;&#3619;&#3636;&#3627;&#3634;&#3619;&#3607;&#3619;&#3633;&#3614;&#3618;&#3660;002.pdf" TargetMode="External"/><Relationship Id="rId1" Type="http://schemas.openxmlformats.org/officeDocument/2006/relationships/hyperlink" Target="file:///C:\Users\HP%204300\Downloads\Budget%2065\&#3613;&#3656;&#3634;&#3618;&#3610;&#3619;&#3636;&#3627;&#3634;&#3619;&#3607;&#3619;&#3633;&#3614;&#3618;&#3660;001.pdf" TargetMode="External"/><Relationship Id="rId6" Type="http://schemas.openxmlformats.org/officeDocument/2006/relationships/hyperlink" Target="file:///C:\Users\HP%204300\Downloads\Budget%2065\&#3613;&#3656;&#3634;&#3618;&#3610;&#3619;&#3636;&#3627;&#3634;&#3619;&#3607;&#3619;&#3633;&#3614;&#3618;&#3660;006.pdf" TargetMode="External"/><Relationship Id="rId5" Type="http://schemas.openxmlformats.org/officeDocument/2006/relationships/hyperlink" Target="file:///C:\Users\HP%204300\Downloads\Budget%2065\&#3613;&#3656;&#3634;&#3618;&#3610;&#3619;&#3636;&#3627;&#3634;&#3619;&#3607;&#3619;&#3633;&#3614;&#3618;&#3660;005.pdf" TargetMode="External"/><Relationship Id="rId4" Type="http://schemas.openxmlformats.org/officeDocument/2006/relationships/hyperlink" Target="file:///C:\Users\HP%204300\Downloads\Budget%2065\&#3613;&#3656;&#3634;&#3618;&#3610;&#3619;&#3636;&#3627;&#3634;&#3619;&#3607;&#3619;&#3633;&#3614;&#3618;&#3660;004.pdf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652;&#3615;&#3615;&#3657;&#3634;003.pdf" TargetMode="External"/><Relationship Id="rId2" Type="http://schemas.openxmlformats.org/officeDocument/2006/relationships/hyperlink" Target="file:///C:\Users\HP%204300\Downloads\Budget%2065\&#3588;&#3656;&#3634;&#3652;&#3615;&#3615;&#3657;&#3634;004.pdf" TargetMode="External"/><Relationship Id="rId1" Type="http://schemas.openxmlformats.org/officeDocument/2006/relationships/hyperlink" Target="file:///C:\Users\HP%204300\Downloads\Budget%2065\&#3588;&#3656;&#3634;&#3652;&#3615;&#3615;&#3657;&#3634;005.pdf" TargetMode="External"/><Relationship Id="rId5" Type="http://schemas.openxmlformats.org/officeDocument/2006/relationships/hyperlink" Target="file:///C:\Users\HP%204300\Downloads\Budget%2065\&#3588;&#3656;&#3634;&#3652;&#3615;&#3615;&#3657;&#3634;001.pdf" TargetMode="External"/><Relationship Id="rId4" Type="http://schemas.openxmlformats.org/officeDocument/2006/relationships/hyperlink" Target="file:///C:\Users\HP%204300\Downloads\Budget%2065\&#3588;&#3656;&#3634;&#3652;&#3615;&#3615;&#3657;&#3634;002.pdf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588;&#3656;&#3634;&#3609;&#3657;&#3635;&#3611;&#3619;&#3632;&#3611;&#3634;008.pdf" TargetMode="External"/><Relationship Id="rId3" Type="http://schemas.openxmlformats.org/officeDocument/2006/relationships/hyperlink" Target="file:///C:\Users\HP%204300\Downloads\Budget%2065\&#3588;&#3656;&#3634;&#3609;&#3657;&#3635;&#3611;&#3619;&#3632;&#3611;&#3634;003.pdf" TargetMode="External"/><Relationship Id="rId7" Type="http://schemas.openxmlformats.org/officeDocument/2006/relationships/hyperlink" Target="file:///C:\Users\HP%204300\Downloads\Budget%2065\&#3588;&#3656;&#3634;&#3609;&#3657;&#3635;&#3611;&#3619;&#3632;&#3611;&#3634;007.pdf" TargetMode="External"/><Relationship Id="rId2" Type="http://schemas.openxmlformats.org/officeDocument/2006/relationships/hyperlink" Target="file:///C:\Users\HP%204300\Downloads\Budget%2065\&#3588;&#3656;&#3634;&#3609;&#3657;&#3635;&#3611;&#3619;&#3632;&#3611;&#3634;002.pdf" TargetMode="External"/><Relationship Id="rId1" Type="http://schemas.openxmlformats.org/officeDocument/2006/relationships/hyperlink" Target="file:///C:\Users\HP%204300\Downloads\Budget%2065\&#3588;&#3656;&#3634;&#3609;&#3657;&#3635;&#3611;&#3619;&#3632;&#3611;&#3634;001.pdf" TargetMode="External"/><Relationship Id="rId6" Type="http://schemas.openxmlformats.org/officeDocument/2006/relationships/hyperlink" Target="file:///C:\Users\HP%204300\Downloads\Budget%2065\&#3588;&#3656;&#3634;&#3609;&#3657;&#3635;&#3611;&#3619;&#3632;&#3611;&#3634;006.pdf" TargetMode="External"/><Relationship Id="rId5" Type="http://schemas.openxmlformats.org/officeDocument/2006/relationships/hyperlink" Target="file:///C:\Users\HP%204300\Downloads\Budget%2065\&#3588;&#3656;&#3634;&#3609;&#3657;&#3635;&#3611;&#3619;&#3632;&#3611;&#3634;005.pdf" TargetMode="External"/><Relationship Id="rId4" Type="http://schemas.openxmlformats.org/officeDocument/2006/relationships/hyperlink" Target="file:///C:\Users\HP%204300\Downloads\Budget%2065\&#3588;&#3656;&#3634;&#3609;&#3657;&#3635;&#3611;&#3619;&#3632;&#3611;&#3634;004.pdf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650;&#3607;&#3619;&#3624;&#3633;&#3614;&#3607;&#3660;003.pdf" TargetMode="External"/><Relationship Id="rId2" Type="http://schemas.openxmlformats.org/officeDocument/2006/relationships/hyperlink" Target="file:///C:\Users\HP%204300\Downloads\Budget%2065\&#3588;&#3656;&#3634;&#3650;&#3607;&#3619;&#3624;&#3633;&#3614;&#3607;&#3660;004.pdf" TargetMode="External"/><Relationship Id="rId1" Type="http://schemas.openxmlformats.org/officeDocument/2006/relationships/hyperlink" Target="file:///C:\Users\HP%204300\Downloads\Budget%2065\&#3588;&#3656;&#3634;&#3650;&#3607;&#3619;&#3624;&#3633;&#3614;&#3607;&#3660;005.pdf" TargetMode="External"/><Relationship Id="rId5" Type="http://schemas.openxmlformats.org/officeDocument/2006/relationships/hyperlink" Target="file:///C:\Users\HP%204300\Downloads\Budget%2065\&#3588;&#3656;&#3634;&#3650;&#3607;&#3619;&#3624;&#3633;&#3614;&#3607;&#3660;001.pdf" TargetMode="External"/><Relationship Id="rId4" Type="http://schemas.openxmlformats.org/officeDocument/2006/relationships/hyperlink" Target="file:///C:\Users\HP%204300\Downloads\Budget%2065\&#3588;&#3656;&#3634;&#3650;&#3607;&#3619;&#3624;&#3633;&#3614;&#3607;&#3660;002.pdf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56;&#3634;&#3652;&#3611;&#3619;&#3625;&#3603;&#3637;&#3618;&#3660;003.pdf" TargetMode="External"/><Relationship Id="rId2" Type="http://schemas.openxmlformats.org/officeDocument/2006/relationships/hyperlink" Target="file:///C:\Users\HP%204300\Downloads\Budget%2065\&#3588;&#3656;&#3634;&#3652;&#3611;&#3619;&#3625;&#3603;&#3637;&#3618;&#3660;002.pdf" TargetMode="External"/><Relationship Id="rId1" Type="http://schemas.openxmlformats.org/officeDocument/2006/relationships/hyperlink" Target="file:///C:\Users\HP%204300\Downloads\Budget%2065\&#3588;&#3656;&#3634;&#3652;&#3611;&#3619;&#3625;&#3603;&#3637;&#3618;&#3660;001.pdf" TargetMode="External"/><Relationship Id="rId5" Type="http://schemas.openxmlformats.org/officeDocument/2006/relationships/hyperlink" Target="file:///C:\Users\HP%204300\Downloads\Budget%2065\&#3588;&#3656;&#3634;&#3652;&#3611;&#3619;&#3625;&#3603;&#3637;&#3618;&#3660;005.pdf" TargetMode="External"/><Relationship Id="rId4" Type="http://schemas.openxmlformats.org/officeDocument/2006/relationships/hyperlink" Target="file:///C:\Users\HP%204300\Downloads\Budget%2065\&#3588;&#3656;&#3634;&#3652;&#3611;&#3619;&#3625;&#3603;&#3637;&#3618;&#3660;004.pdf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Internet003.pdf" TargetMode="External"/><Relationship Id="rId2" Type="http://schemas.openxmlformats.org/officeDocument/2006/relationships/hyperlink" Target="file:///C:\Users\HP%204300\Downloads\Budget%2065\Internet002.pdf" TargetMode="External"/><Relationship Id="rId1" Type="http://schemas.openxmlformats.org/officeDocument/2006/relationships/hyperlink" Target="file:///C:\Users\HP%204300\Downloads\Budget%2065\Internet001.pdf" TargetMode="External"/><Relationship Id="rId4" Type="http://schemas.openxmlformats.org/officeDocument/2006/relationships/hyperlink" Target="file:///C:\Users\HP%204300\Downloads\Budget%2065\Internet004.pdf" TargetMode="Externa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650;&#3588;&#3619;&#3591;&#3585;&#3634;&#3619;&#3624;&#3638;&#3585;&#3625;&#3634;&#3604;&#3641;&#3591;&#3634;&#3609;&#3648;&#3594;&#3637;&#3618;&#3591;&#3619;&#3634;&#3618;001.pdf" TargetMode="Externa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594;&#3640;&#3604;&#3611;&#3599;&#3636;&#3610;&#3633;&#3605;&#3636;&#3585;&#3634;&#3619;&#3648;&#3586;&#3637;&#3618;&#3609;&#3649;&#3610;&#3610;&#3604;&#3657;&#3623;&#3618;&#3588;&#3629;&#3617;&#3631;001.pdf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623;&#3633;&#3626;&#3604;&#3640;&#3617;&#3640;&#3591;&#3627;&#3621;&#3633;&#3591;&#3648;&#3617;&#3607;&#3633;&#3621;&#3594;&#3637;&#3607;003.pdf" TargetMode="External"/><Relationship Id="rId2" Type="http://schemas.openxmlformats.org/officeDocument/2006/relationships/hyperlink" Target="file:///C:\Users\HP%204300\Downloads\Budget%2065\&#3623;&#3633;&#3626;&#3604;&#3640;&#3617;&#3640;&#3591;&#3627;&#3621;&#3633;&#3591;&#3648;&#3617;&#3607;&#3633;&#3621;&#3594;&#3637;&#3607;002.pdf" TargetMode="External"/><Relationship Id="rId1" Type="http://schemas.openxmlformats.org/officeDocument/2006/relationships/hyperlink" Target="file:///C:\Users\HP%204300\Downloads\Budget%2065\&#3623;&#3633;&#3626;&#3604;&#3640;&#3617;&#3640;&#3591;&#3627;&#3621;&#3633;&#3591;&#3648;&#3617;&#3607;&#3633;&#3621;&#3594;&#3637;&#3607;001.pdf" TargetMode="Externa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588;&#3656;&#3634;&#3629;&#3640;&#3611;&#3585;&#3619;&#3603;&#3660;&#3585;&#3634;&#3619;&#3648;&#3619;&#3637;&#3618;&#3609;001.pdf" TargetMode="External"/></Relationships>
</file>

<file path=xl/worksheets/_rels/sheet8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8.pdf" TargetMode="External"/><Relationship Id="rId3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3.pdf" TargetMode="External"/><Relationship Id="rId7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7.pdf" TargetMode="External"/><Relationship Id="rId2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2.pdf" TargetMode="External"/><Relationship Id="rId1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1.pdf" TargetMode="External"/><Relationship Id="rId6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6.pdf" TargetMode="External"/><Relationship Id="rId5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5.pdf" TargetMode="External"/><Relationship Id="rId4" Type="http://schemas.openxmlformats.org/officeDocument/2006/relationships/hyperlink" Target="file:///C:\Users\HP%204300\Downloads\Budget%2065\&#3585;&#3636;&#3592;&#3585;&#3619;&#3619;&#3617;&#3614;&#3633;&#3602;&#3609;&#3634;&#3612;&#3641;&#3657;&#3648;&#3619;&#3637;&#3618;&#3609;004.pdf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Fix%20it003.pdf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file:///C:\Users\HP%204300\Downloads\Budget%2065\Fix%20it002.pdf" TargetMode="External"/><Relationship Id="rId1" Type="http://schemas.openxmlformats.org/officeDocument/2006/relationships/hyperlink" Target="file:///C:\Users\HP%204300\Downloads\Budget%2065\Fix%20it001.pdf" TargetMode="External"/><Relationship Id="rId6" Type="http://schemas.openxmlformats.org/officeDocument/2006/relationships/hyperlink" Target="file:///C:\Users\HP%204300\Downloads\Budget%2065\Fix%20it006.pdf" TargetMode="External"/><Relationship Id="rId5" Type="http://schemas.openxmlformats.org/officeDocument/2006/relationships/hyperlink" Target="file:///C:\Users\HP%204300\Downloads\Budget%2065\Fix%20it005.pdf" TargetMode="External"/><Relationship Id="rId4" Type="http://schemas.openxmlformats.org/officeDocument/2006/relationships/hyperlink" Target="file:///C:\Users\HP%204300\Downloads\Budget%2065\Fix%20it004.pdf" TargetMode="Externa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%204300\Downloads\Budget%2065\&#3607;&#3640;&#3609;&#3648;&#3593;&#3621;&#3636;&#3617;&#3619;&#3634;&#3594;&#3585;&#3640;&#3617;&#3634;&#3619;&#3637;001.pdf" TargetMode="Externa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HP%204300\Downloads\Budget%2065\&#3588;&#3639;&#3609;&#3588;&#3619;&#3641;&#3651;&#3627;&#3657;&#3609;&#3633;&#3585;&#3648;&#3619;&#3637;&#3618;&#3609;003.pdf" TargetMode="External"/><Relationship Id="rId2" Type="http://schemas.openxmlformats.org/officeDocument/2006/relationships/hyperlink" Target="file:///C:\Users\HP%204300\Downloads\Budget%2065\&#3588;&#3639;&#3609;&#3588;&#3619;&#3641;&#3651;&#3627;&#3657;&#3609;&#3633;&#3585;&#3648;&#3619;&#3637;&#3618;&#3609;002.pdf" TargetMode="External"/><Relationship Id="rId1" Type="http://schemas.openxmlformats.org/officeDocument/2006/relationships/hyperlink" Target="file:///C:\Users\HP%204300\Downloads\Budget%2065\&#3588;&#3639;&#3609;&#3588;&#3619;&#3641;&#3651;&#3627;&#3657;&#3609;&#3633;&#3585;&#3648;&#3619;&#3637;&#3618;&#3609;001.pdf" TargetMode="External"/><Relationship Id="rId4" Type="http://schemas.openxmlformats.org/officeDocument/2006/relationships/hyperlink" Target="file:///C:\Users\HP%204300\Downloads\Budget%2065\&#3588;&#3639;&#3609;&#3588;&#3619;&#3641;&#3651;&#3627;&#3657;&#3609;&#3633;&#3585;&#3648;&#3619;&#3637;&#3618;&#3609;004.pdf" TargetMode="Externa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HP%204300\Downloads\Budget%2065\&#3648;&#3619;&#3656;&#3591;&#3611;&#3619;&#3632;&#3626;&#3636;&#3607;&#3608;&#3636;&#3616;&#3634;&#3614;&#3588;&#3619;&#3640;&#3641;002.pdf" TargetMode="External"/><Relationship Id="rId1" Type="http://schemas.openxmlformats.org/officeDocument/2006/relationships/hyperlink" Target="file:///C:\Users\HP%204300\Downloads\Budget%2065\&#3648;&#3619;&#3656;&#3591;&#3611;&#3619;&#3632;&#3626;&#3636;&#3607;&#3608;&#3636;&#3616;&#3634;&#3614;&#3588;&#3619;&#3640;&#3641;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29" sqref="B29"/>
    </sheetView>
  </sheetViews>
  <sheetFormatPr defaultRowHeight="18.75" x14ac:dyDescent="0.3"/>
  <cols>
    <col min="1" max="1" width="15.25" style="1" customWidth="1"/>
    <col min="2" max="2" width="35.75" style="1" customWidth="1"/>
    <col min="3" max="16384" width="9" style="1"/>
  </cols>
  <sheetData>
    <row r="1" spans="1:2" x14ac:dyDescent="0.3">
      <c r="A1" s="1" t="s">
        <v>21</v>
      </c>
      <c r="B1" s="64" t="s">
        <v>160</v>
      </c>
    </row>
    <row r="2" spans="1:2" x14ac:dyDescent="0.3">
      <c r="A2" s="1" t="s">
        <v>22</v>
      </c>
      <c r="B2" s="47">
        <v>2565</v>
      </c>
    </row>
    <row r="3" spans="1:2" ht="21.75" x14ac:dyDescent="0.5">
      <c r="B3" s="47"/>
    </row>
    <row r="7" spans="1:2" ht="21.75" x14ac:dyDescent="0.5">
      <c r="B7" s="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"/>
  <sheetViews>
    <sheetView workbookViewId="0">
      <selection activeCell="B29" sqref="B29"/>
    </sheetView>
  </sheetViews>
  <sheetFormatPr defaultRowHeight="18.75" x14ac:dyDescent="0.3"/>
  <cols>
    <col min="1" max="1" width="4.625" style="1" customWidth="1"/>
    <col min="2" max="2" width="3.625" style="1" customWidth="1"/>
    <col min="3" max="3" width="28.125" style="1" customWidth="1"/>
    <col min="4" max="18" width="10.625" style="33" customWidth="1"/>
    <col min="19" max="16384" width="9" style="1"/>
  </cols>
  <sheetData>
    <row r="1" spans="1:18" x14ac:dyDescent="0.3">
      <c r="D1" s="47" t="s">
        <v>20</v>
      </c>
      <c r="E1" s="1"/>
      <c r="F1" s="48">
        <f>Note!$B$2</f>
        <v>2565</v>
      </c>
      <c r="G1" s="47" t="str">
        <f>Note!$B$1</f>
        <v>วิทยาลัยการอาชีพนวมินทราชินีแม่ฮ่องสอน</v>
      </c>
    </row>
    <row r="2" spans="1:18" ht="14.25" customHeight="1" x14ac:dyDescent="0.3">
      <c r="C2" s="21"/>
      <c r="D2" s="131" t="s">
        <v>13</v>
      </c>
      <c r="E2" s="131"/>
      <c r="F2" s="131"/>
      <c r="G2" s="132" t="s">
        <v>14</v>
      </c>
      <c r="H2" s="132"/>
      <c r="I2" s="132"/>
      <c r="J2" s="132"/>
      <c r="K2" s="132"/>
      <c r="L2" s="132"/>
      <c r="M2" s="63" t="s">
        <v>16</v>
      </c>
      <c r="N2" s="132" t="s">
        <v>15</v>
      </c>
      <c r="O2" s="132"/>
      <c r="P2" s="132" t="s">
        <v>10</v>
      </c>
    </row>
    <row r="3" spans="1:18" x14ac:dyDescent="0.3">
      <c r="D3" s="23" t="s">
        <v>0</v>
      </c>
      <c r="E3" s="23" t="s">
        <v>1</v>
      </c>
      <c r="F3" s="23" t="s">
        <v>2</v>
      </c>
      <c r="G3" s="23" t="s">
        <v>11</v>
      </c>
      <c r="H3" s="23" t="s">
        <v>3</v>
      </c>
      <c r="I3" s="23" t="s">
        <v>4</v>
      </c>
      <c r="J3" s="23" t="s">
        <v>6</v>
      </c>
      <c r="K3" s="23" t="s">
        <v>5</v>
      </c>
      <c r="L3" s="23" t="s">
        <v>7</v>
      </c>
      <c r="M3" s="23" t="s">
        <v>12</v>
      </c>
      <c r="N3" s="23" t="s">
        <v>8</v>
      </c>
      <c r="O3" s="23" t="s">
        <v>9</v>
      </c>
      <c r="P3" s="132"/>
      <c r="Q3" s="4"/>
    </row>
    <row r="4" spans="1:18" x14ac:dyDescent="0.3">
      <c r="C4" s="49" t="s">
        <v>17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f>SUM(D4:O4)</f>
        <v>0</v>
      </c>
    </row>
    <row r="5" spans="1:18" x14ac:dyDescent="0.3">
      <c r="C5" s="49" t="s">
        <v>18</v>
      </c>
      <c r="D5" s="10">
        <f>SUM(D9:D120)</f>
        <v>0</v>
      </c>
      <c r="E5" s="10">
        <f t="shared" ref="E5:O5" si="0">SUM(E9:E120)</f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P5" s="10">
        <f t="shared" ref="P5" si="1">SUM(D5:O5)</f>
        <v>0</v>
      </c>
    </row>
    <row r="6" spans="1:18" x14ac:dyDescent="0.3">
      <c r="C6" s="49" t="s">
        <v>19</v>
      </c>
      <c r="D6" s="10">
        <f>D4-D5</f>
        <v>0</v>
      </c>
      <c r="E6" s="10">
        <f t="shared" ref="E6:P6" si="2">E4-E5</f>
        <v>0</v>
      </c>
      <c r="F6" s="10">
        <f t="shared" si="2"/>
        <v>0</v>
      </c>
      <c r="G6" s="10">
        <f t="shared" si="2"/>
        <v>0</v>
      </c>
      <c r="H6" s="10">
        <f t="shared" si="2"/>
        <v>0</v>
      </c>
      <c r="I6" s="10">
        <f t="shared" si="2"/>
        <v>0</v>
      </c>
      <c r="J6" s="10">
        <f t="shared" si="2"/>
        <v>0</v>
      </c>
      <c r="K6" s="10">
        <f t="shared" si="2"/>
        <v>0</v>
      </c>
      <c r="L6" s="10">
        <f t="shared" si="2"/>
        <v>0</v>
      </c>
      <c r="M6" s="10">
        <f t="shared" si="2"/>
        <v>0</v>
      </c>
      <c r="N6" s="10">
        <f t="shared" si="2"/>
        <v>0</v>
      </c>
      <c r="O6" s="10">
        <f t="shared" si="2"/>
        <v>0</v>
      </c>
      <c r="P6" s="10">
        <f t="shared" si="2"/>
        <v>0</v>
      </c>
    </row>
    <row r="7" spans="1:18" ht="21.75" x14ac:dyDescent="0.5">
      <c r="B7" s="78"/>
    </row>
    <row r="8" spans="1:18" x14ac:dyDescent="0.3">
      <c r="D8" s="23" t="s">
        <v>0</v>
      </c>
      <c r="E8" s="23" t="s">
        <v>1</v>
      </c>
      <c r="F8" s="23" t="s">
        <v>2</v>
      </c>
      <c r="G8" s="23" t="s">
        <v>11</v>
      </c>
      <c r="H8" s="23" t="s">
        <v>3</v>
      </c>
      <c r="I8" s="23" t="s">
        <v>4</v>
      </c>
      <c r="J8" s="23" t="s">
        <v>6</v>
      </c>
      <c r="K8" s="23" t="s">
        <v>5</v>
      </c>
      <c r="L8" s="23" t="s">
        <v>7</v>
      </c>
      <c r="M8" s="23" t="s">
        <v>12</v>
      </c>
      <c r="N8" s="23" t="s">
        <v>8</v>
      </c>
      <c r="O8" s="23" t="s">
        <v>9</v>
      </c>
      <c r="P8" s="23" t="s">
        <v>10</v>
      </c>
      <c r="Q8" s="4"/>
      <c r="R8" s="4"/>
    </row>
    <row r="9" spans="1:18" x14ac:dyDescent="0.3">
      <c r="A9" s="50" t="s">
        <v>23</v>
      </c>
      <c r="B9" s="51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</row>
    <row r="10" spans="1:18" x14ac:dyDescent="0.3">
      <c r="A10" s="53">
        <f>Note!$B$2</f>
        <v>2565</v>
      </c>
      <c r="B10" s="54">
        <v>101</v>
      </c>
      <c r="C10" s="55" t="s">
        <v>24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8" ht="21.75" x14ac:dyDescent="0.5">
      <c r="A11" s="53">
        <f>Note!$B$2</f>
        <v>2565</v>
      </c>
      <c r="B11" s="54">
        <v>102</v>
      </c>
      <c r="C11" s="5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8" ht="21.75" x14ac:dyDescent="0.5">
      <c r="A12" s="53">
        <f>Note!$B$2</f>
        <v>2565</v>
      </c>
      <c r="B12" s="54">
        <v>103</v>
      </c>
      <c r="C12" s="5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8" ht="21.75" x14ac:dyDescent="0.5">
      <c r="A13" s="53">
        <f>Note!$B$2</f>
        <v>2565</v>
      </c>
      <c r="B13" s="54">
        <v>104</v>
      </c>
      <c r="C13" s="5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8" ht="21.75" x14ac:dyDescent="0.5">
      <c r="A14" s="53">
        <f>Note!$B$2</f>
        <v>2565</v>
      </c>
      <c r="B14" s="54">
        <v>105</v>
      </c>
      <c r="C14" s="5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8" x14ac:dyDescent="0.3">
      <c r="A15" s="50" t="s">
        <v>25</v>
      </c>
      <c r="B15" s="57"/>
      <c r="C15" s="58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 spans="1:18" x14ac:dyDescent="0.3">
      <c r="A16" s="59">
        <f>Note!$B$2</f>
        <v>2565</v>
      </c>
      <c r="B16" s="54">
        <v>201</v>
      </c>
      <c r="C16" s="56" t="s">
        <v>26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s="1" customFormat="1" x14ac:dyDescent="0.3">
      <c r="A17" s="59">
        <f>Note!$B$2</f>
        <v>2565</v>
      </c>
      <c r="B17" s="54">
        <v>202</v>
      </c>
      <c r="C17" s="56" t="s">
        <v>27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s="1" customFormat="1" x14ac:dyDescent="0.3">
      <c r="A18" s="59">
        <f>Note!$B$2</f>
        <v>2565</v>
      </c>
      <c r="B18" s="54">
        <v>203</v>
      </c>
      <c r="C18" s="56" t="s">
        <v>28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s="1" customFormat="1" x14ac:dyDescent="0.3">
      <c r="A19" s="59">
        <f>Note!$B$2</f>
        <v>2565</v>
      </c>
      <c r="B19" s="54">
        <v>204</v>
      </c>
      <c r="C19" s="56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s="1" customFormat="1" x14ac:dyDescent="0.3">
      <c r="A20" s="59">
        <f>Note!$B$2</f>
        <v>2565</v>
      </c>
      <c r="B20" s="54">
        <v>205</v>
      </c>
      <c r="C20" s="56" t="s">
        <v>30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s="1" customFormat="1" x14ac:dyDescent="0.3">
      <c r="A21" s="59">
        <f>Note!$B$2</f>
        <v>2565</v>
      </c>
      <c r="B21" s="54">
        <v>206</v>
      </c>
      <c r="C21" s="56" t="s">
        <v>31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s="1" customFormat="1" x14ac:dyDescent="0.3">
      <c r="A22" s="59">
        <f>Note!$B$2</f>
        <v>2565</v>
      </c>
      <c r="B22" s="54">
        <v>207</v>
      </c>
      <c r="C22" s="56" t="s">
        <v>32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s="1" customFormat="1" x14ac:dyDescent="0.3">
      <c r="A23" s="59">
        <f>Note!$B$2</f>
        <v>2565</v>
      </c>
      <c r="B23" s="54">
        <v>208</v>
      </c>
      <c r="C23" s="56" t="s">
        <v>33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s="1" customFormat="1" x14ac:dyDescent="0.3">
      <c r="A24" s="59">
        <f>Note!$B$2</f>
        <v>2565</v>
      </c>
      <c r="B24" s="54">
        <v>209</v>
      </c>
      <c r="C24" s="56" t="s">
        <v>34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s="1" customFormat="1" ht="21.75" x14ac:dyDescent="0.5">
      <c r="A25" s="59">
        <f>Note!$B$2</f>
        <v>2565</v>
      </c>
      <c r="B25" s="54">
        <v>210</v>
      </c>
      <c r="C25" s="56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s="1" customFormat="1" ht="21.75" x14ac:dyDescent="0.5">
      <c r="A26" s="59">
        <f>Note!$B$2</f>
        <v>2565</v>
      </c>
      <c r="B26" s="54">
        <v>211</v>
      </c>
      <c r="C26" s="56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s="1" customFormat="1" ht="21.75" x14ac:dyDescent="0.5">
      <c r="A27" s="59">
        <f>Note!$B$2</f>
        <v>2565</v>
      </c>
      <c r="B27" s="54">
        <v>212</v>
      </c>
      <c r="C27" s="56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s="1" customFormat="1" ht="21.75" x14ac:dyDescent="0.5">
      <c r="A28" s="59">
        <f>Note!$B$2</f>
        <v>2565</v>
      </c>
      <c r="B28" s="54">
        <v>213</v>
      </c>
      <c r="C28" s="5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s="1" customFormat="1" x14ac:dyDescent="0.3">
      <c r="A29" s="59">
        <f>Note!$B$2</f>
        <v>2565</v>
      </c>
      <c r="B29" s="54">
        <v>214</v>
      </c>
      <c r="C29" s="5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s="1" customFormat="1" x14ac:dyDescent="0.3">
      <c r="A30" s="50" t="s">
        <v>35</v>
      </c>
      <c r="B30" s="57"/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16" s="1" customFormat="1" x14ac:dyDescent="0.3">
      <c r="A31" s="59">
        <f>Note!$B$2</f>
        <v>2565</v>
      </c>
      <c r="B31" s="54">
        <v>301</v>
      </c>
      <c r="C31" s="56" t="s">
        <v>36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s="1" customFormat="1" x14ac:dyDescent="0.3">
      <c r="A32" s="59">
        <f>Note!$B$2</f>
        <v>2565</v>
      </c>
      <c r="B32" s="54">
        <v>302</v>
      </c>
      <c r="C32" s="56" t="s">
        <v>37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s="1" customFormat="1" x14ac:dyDescent="0.3">
      <c r="A33" s="59">
        <f>Note!$B$2</f>
        <v>2565</v>
      </c>
      <c r="B33" s="54">
        <v>303</v>
      </c>
      <c r="C33" s="56" t="s">
        <v>38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s="1" customFormat="1" x14ac:dyDescent="0.3">
      <c r="A34" s="59">
        <f>Note!$B$2</f>
        <v>2565</v>
      </c>
      <c r="B34" s="54">
        <v>304</v>
      </c>
      <c r="C34" s="56" t="s">
        <v>39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s="1" customFormat="1" x14ac:dyDescent="0.3">
      <c r="A35" s="59">
        <f>Note!$B$2</f>
        <v>2565</v>
      </c>
      <c r="B35" s="54">
        <v>305</v>
      </c>
      <c r="C35" s="56" t="s">
        <v>40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s="1" customFormat="1" x14ac:dyDescent="0.3">
      <c r="A36" s="59">
        <f>Note!$B$2</f>
        <v>2565</v>
      </c>
      <c r="B36" s="54">
        <v>306</v>
      </c>
      <c r="C36" s="56" t="s">
        <v>41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s="1" customFormat="1" x14ac:dyDescent="0.3">
      <c r="A37" s="59">
        <f>Note!$B$2</f>
        <v>2565</v>
      </c>
      <c r="B37" s="54">
        <v>307</v>
      </c>
      <c r="C37" s="56" t="s">
        <v>42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s="1" customFormat="1" x14ac:dyDescent="0.3">
      <c r="A38" s="59">
        <f>Note!$B$2</f>
        <v>2565</v>
      </c>
      <c r="B38" s="54">
        <v>308</v>
      </c>
      <c r="C38" s="56" t="s">
        <v>43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s="1" customFormat="1" x14ac:dyDescent="0.3">
      <c r="A39" s="59">
        <f>Note!$B$2</f>
        <v>2565</v>
      </c>
      <c r="B39" s="54">
        <v>309</v>
      </c>
      <c r="C39" s="56" t="s">
        <v>44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s="1" customFormat="1" x14ac:dyDescent="0.3">
      <c r="A40" s="59">
        <f>Note!$B$2</f>
        <v>2565</v>
      </c>
      <c r="B40" s="54">
        <v>310</v>
      </c>
      <c r="C40" s="5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s="1" customFormat="1" x14ac:dyDescent="0.3">
      <c r="A41" s="59">
        <f>Note!$B$2</f>
        <v>2565</v>
      </c>
      <c r="B41" s="54">
        <v>311</v>
      </c>
      <c r="C41" s="5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s="1" customFormat="1" x14ac:dyDescent="0.3">
      <c r="A42" s="59">
        <f>Note!$B$2</f>
        <v>2565</v>
      </c>
      <c r="B42" s="54">
        <v>312</v>
      </c>
      <c r="C42" s="56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s="1" customFormat="1" x14ac:dyDescent="0.3">
      <c r="A43" s="59">
        <f>Note!$B$2</f>
        <v>2565</v>
      </c>
      <c r="B43" s="54">
        <v>313</v>
      </c>
      <c r="C43" s="56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s="1" customFormat="1" x14ac:dyDescent="0.3">
      <c r="A44" s="59">
        <f>Note!$B$2</f>
        <v>2565</v>
      </c>
      <c r="B44" s="54">
        <v>314</v>
      </c>
      <c r="C44" s="56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s="1" customFormat="1" x14ac:dyDescent="0.3">
      <c r="A45" s="50" t="s">
        <v>45</v>
      </c>
      <c r="B45" s="57"/>
      <c r="C45" s="58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s="1" customFormat="1" x14ac:dyDescent="0.3">
      <c r="A46" s="59">
        <f>Note!$B$2</f>
        <v>2565</v>
      </c>
      <c r="B46" s="54">
        <v>401</v>
      </c>
      <c r="C46" s="56" t="s">
        <v>46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s="1" customFormat="1" x14ac:dyDescent="0.3">
      <c r="A47" s="59">
        <f>Note!$B$2</f>
        <v>2565</v>
      </c>
      <c r="B47" s="54">
        <v>402</v>
      </c>
      <c r="C47" s="56" t="s">
        <v>47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s="1" customFormat="1" x14ac:dyDescent="0.3">
      <c r="A48" s="59">
        <f>Note!$B$2</f>
        <v>2565</v>
      </c>
      <c r="B48" s="54">
        <v>403</v>
      </c>
      <c r="C48" s="56" t="s">
        <v>48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s="1" customFormat="1" x14ac:dyDescent="0.3">
      <c r="A49" s="59">
        <f>Note!$B$2</f>
        <v>2565</v>
      </c>
      <c r="B49" s="54">
        <v>404</v>
      </c>
      <c r="C49" s="56" t="s">
        <v>49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s="1" customFormat="1" x14ac:dyDescent="0.3">
      <c r="A50" s="59">
        <f>Note!$B$2</f>
        <v>2565</v>
      </c>
      <c r="B50" s="54">
        <v>405</v>
      </c>
      <c r="C50" s="56" t="s">
        <v>50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s="1" customFormat="1" x14ac:dyDescent="0.3">
      <c r="A51" s="59">
        <f>Note!$B$2</f>
        <v>2565</v>
      </c>
      <c r="B51" s="54">
        <v>406</v>
      </c>
      <c r="C51" s="56" t="s">
        <v>51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s="1" customFormat="1" x14ac:dyDescent="0.3">
      <c r="A52" s="59">
        <f>Note!$B$2</f>
        <v>2565</v>
      </c>
      <c r="B52" s="54">
        <v>407</v>
      </c>
      <c r="C52" s="56" t="s">
        <v>52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s="1" customFormat="1" x14ac:dyDescent="0.3">
      <c r="A53" s="59">
        <f>Note!$B$2</f>
        <v>2565</v>
      </c>
      <c r="B53" s="54">
        <v>408</v>
      </c>
      <c r="C53" s="56" t="s">
        <v>53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s="1" customFormat="1" x14ac:dyDescent="0.3">
      <c r="A54" s="59">
        <f>Note!$B$2</f>
        <v>2565</v>
      </c>
      <c r="B54" s="54">
        <v>409</v>
      </c>
      <c r="C54" s="56" t="s">
        <v>54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s="1" customFormat="1" x14ac:dyDescent="0.3">
      <c r="A55" s="59">
        <f>Note!$B$2</f>
        <v>2565</v>
      </c>
      <c r="B55" s="54">
        <v>410</v>
      </c>
      <c r="C55" s="56" t="s">
        <v>55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1" customFormat="1" x14ac:dyDescent="0.3">
      <c r="A56" s="59">
        <f>Note!$B$2</f>
        <v>2565</v>
      </c>
      <c r="B56" s="54">
        <v>411</v>
      </c>
      <c r="C56" s="56" t="s">
        <v>56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s="1" customFormat="1" x14ac:dyDescent="0.3">
      <c r="A57" s="59">
        <f>Note!$B$2</f>
        <v>2565</v>
      </c>
      <c r="B57" s="54">
        <v>412</v>
      </c>
      <c r="C57" s="56" t="s">
        <v>57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s="1" customFormat="1" x14ac:dyDescent="0.3">
      <c r="A58" s="59">
        <f>Note!$B$2</f>
        <v>2565</v>
      </c>
      <c r="B58" s="54">
        <v>413</v>
      </c>
      <c r="C58" s="56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s="1" customFormat="1" x14ac:dyDescent="0.3">
      <c r="A59" s="59">
        <f>Note!$B$2</f>
        <v>2565</v>
      </c>
      <c r="B59" s="54">
        <v>414</v>
      </c>
      <c r="C59" s="56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s="1" customFormat="1" x14ac:dyDescent="0.3">
      <c r="A60" s="59">
        <f>Note!$B$2</f>
        <v>2565</v>
      </c>
      <c r="B60" s="54">
        <v>415</v>
      </c>
      <c r="C60" s="56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s="1" customFormat="1" x14ac:dyDescent="0.3">
      <c r="A61" s="59">
        <f>Note!$B$2</f>
        <v>2565</v>
      </c>
      <c r="B61" s="54">
        <v>416</v>
      </c>
      <c r="C61" s="56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s="1" customFormat="1" x14ac:dyDescent="0.3">
      <c r="A62" s="59">
        <f>Note!$B$2</f>
        <v>2565</v>
      </c>
      <c r="B62" s="54">
        <v>417</v>
      </c>
      <c r="C62" s="56" t="s">
        <v>146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s="1" customFormat="1" x14ac:dyDescent="0.3">
      <c r="A63" s="50" t="s">
        <v>58</v>
      </c>
      <c r="B63" s="57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1:16" s="1" customFormat="1" x14ac:dyDescent="0.3">
      <c r="A64" s="59">
        <f>Note!$B$2</f>
        <v>2565</v>
      </c>
      <c r="B64" s="54">
        <v>501</v>
      </c>
      <c r="C64" s="56" t="s">
        <v>59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s="1" customFormat="1" x14ac:dyDescent="0.3">
      <c r="A65" s="59">
        <f>Note!$B$2</f>
        <v>2565</v>
      </c>
      <c r="B65" s="54">
        <v>502</v>
      </c>
      <c r="C65" s="56" t="s">
        <v>60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s="1" customFormat="1" x14ac:dyDescent="0.3">
      <c r="A66" s="59">
        <f>Note!$B$2</f>
        <v>2565</v>
      </c>
      <c r="B66" s="54">
        <v>503</v>
      </c>
      <c r="C66" s="56" t="s">
        <v>61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s="1" customFormat="1" x14ac:dyDescent="0.3">
      <c r="A67" s="59">
        <f>Note!$B$2</f>
        <v>2565</v>
      </c>
      <c r="B67" s="54">
        <v>504</v>
      </c>
      <c r="C67" s="56" t="s">
        <v>62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s="1" customFormat="1" x14ac:dyDescent="0.3">
      <c r="A68" s="59">
        <f>Note!$B$2</f>
        <v>2565</v>
      </c>
      <c r="B68" s="54">
        <v>505</v>
      </c>
      <c r="C68" s="56" t="s">
        <v>63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s="1" customFormat="1" x14ac:dyDescent="0.3">
      <c r="A69" s="59">
        <f>Note!$B$2</f>
        <v>2565</v>
      </c>
      <c r="B69" s="54">
        <v>506</v>
      </c>
      <c r="C69" s="56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s="1" customFormat="1" x14ac:dyDescent="0.3">
      <c r="A70" s="59">
        <f>Note!$B$2</f>
        <v>2565</v>
      </c>
      <c r="B70" s="54">
        <v>507</v>
      </c>
      <c r="C70" s="56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s="1" customFormat="1" x14ac:dyDescent="0.3">
      <c r="A71" s="59">
        <f>Note!$B$2</f>
        <v>2565</v>
      </c>
      <c r="B71" s="54">
        <v>508</v>
      </c>
      <c r="C71" s="56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s="1" customFormat="1" x14ac:dyDescent="0.3">
      <c r="A72" s="50" t="s">
        <v>82</v>
      </c>
      <c r="B72" s="57"/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1:16" s="1" customFormat="1" x14ac:dyDescent="0.3">
      <c r="A73" s="59">
        <f>Note!$B$2</f>
        <v>2565</v>
      </c>
      <c r="B73" s="54">
        <v>601</v>
      </c>
      <c r="C73" s="56" t="s">
        <v>83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s="1" customFormat="1" x14ac:dyDescent="0.3">
      <c r="A74" s="59">
        <f>Note!$B$2</f>
        <v>2565</v>
      </c>
      <c r="B74" s="54">
        <v>602</v>
      </c>
      <c r="C74" s="56" t="s">
        <v>84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s="1" customFormat="1" x14ac:dyDescent="0.3">
      <c r="A75" s="59">
        <f>Note!$B$2</f>
        <v>2565</v>
      </c>
      <c r="B75" s="54">
        <v>603</v>
      </c>
      <c r="C75" s="56" t="s">
        <v>85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s="1" customFormat="1" x14ac:dyDescent="0.3">
      <c r="A76" s="59">
        <f>Note!$B$2</f>
        <v>2565</v>
      </c>
      <c r="B76" s="54">
        <v>604</v>
      </c>
      <c r="C76" s="56" t="s">
        <v>64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s="1" customFormat="1" x14ac:dyDescent="0.3">
      <c r="A77" s="59">
        <f>Note!$B$2</f>
        <v>2565</v>
      </c>
      <c r="B77" s="54">
        <v>605</v>
      </c>
      <c r="C77" s="56" t="s">
        <v>65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s="1" customFormat="1" x14ac:dyDescent="0.3">
      <c r="A78" s="59">
        <f>Note!$B$2</f>
        <v>2565</v>
      </c>
      <c r="B78" s="54">
        <v>606</v>
      </c>
      <c r="C78" s="56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s="1" customFormat="1" x14ac:dyDescent="0.3">
      <c r="A79" s="59">
        <f>Note!$B$2</f>
        <v>2565</v>
      </c>
      <c r="B79" s="54">
        <v>607</v>
      </c>
      <c r="C79" s="56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s="1" customFormat="1" x14ac:dyDescent="0.3">
      <c r="A80" s="59">
        <f>Note!$B$2</f>
        <v>2565</v>
      </c>
      <c r="B80" s="54">
        <v>608</v>
      </c>
      <c r="C80" s="56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s="1" customFormat="1" x14ac:dyDescent="0.3">
      <c r="A81" s="59">
        <f>Note!$B$2</f>
        <v>2565</v>
      </c>
      <c r="B81" s="54">
        <v>609</v>
      </c>
      <c r="C81" s="56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s="1" customFormat="1" x14ac:dyDescent="0.3">
      <c r="A82" s="59">
        <f>Note!$B$2</f>
        <v>2565</v>
      </c>
      <c r="B82" s="54">
        <v>610</v>
      </c>
      <c r="C82" s="56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s="1" customFormat="1" x14ac:dyDescent="0.3">
      <c r="A83" s="50" t="s">
        <v>66</v>
      </c>
      <c r="B83" s="57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16" s="1" customFormat="1" x14ac:dyDescent="0.3">
      <c r="A84" s="59">
        <f>Note!$B$2</f>
        <v>2565</v>
      </c>
      <c r="B84" s="54">
        <v>701</v>
      </c>
      <c r="C84" s="56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s="1" customFormat="1" x14ac:dyDescent="0.3">
      <c r="A85" s="59">
        <f>Note!$B$2</f>
        <v>2565</v>
      </c>
      <c r="B85" s="54">
        <v>702</v>
      </c>
      <c r="C85" s="56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s="1" customFormat="1" x14ac:dyDescent="0.3">
      <c r="A86" s="59">
        <f>Note!$B$2</f>
        <v>2565</v>
      </c>
      <c r="B86" s="54">
        <v>703</v>
      </c>
      <c r="C86" s="56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s="1" customFormat="1" x14ac:dyDescent="0.3">
      <c r="A87" s="59">
        <f>Note!$B$2</f>
        <v>2565</v>
      </c>
      <c r="B87" s="54">
        <v>704</v>
      </c>
      <c r="C87" s="56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s="1" customFormat="1" x14ac:dyDescent="0.3">
      <c r="A88" s="59">
        <f>Note!$B$2</f>
        <v>2565</v>
      </c>
      <c r="B88" s="54">
        <v>705</v>
      </c>
      <c r="C88" s="6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s="1" customFormat="1" x14ac:dyDescent="0.3">
      <c r="A89" s="61" t="s">
        <v>86</v>
      </c>
      <c r="B89" s="51"/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6" s="1" customFormat="1" x14ac:dyDescent="0.3">
      <c r="A90" s="53">
        <f>Note!$B$2</f>
        <v>2565</v>
      </c>
      <c r="B90" s="54">
        <v>801</v>
      </c>
      <c r="C90" s="55" t="s">
        <v>67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s="1" customFormat="1" x14ac:dyDescent="0.3">
      <c r="A91" s="53">
        <f>Note!$B$2</f>
        <v>2565</v>
      </c>
      <c r="B91" s="54">
        <v>802</v>
      </c>
      <c r="C91" s="56" t="s">
        <v>68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s="1" customFormat="1" x14ac:dyDescent="0.3">
      <c r="A92" s="53">
        <f>Note!$B$2</f>
        <v>2565</v>
      </c>
      <c r="B92" s="54">
        <v>803</v>
      </c>
      <c r="C92" s="56" t="s">
        <v>69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s="1" customFormat="1" x14ac:dyDescent="0.3">
      <c r="A93" s="53">
        <f>Note!$B$2</f>
        <v>2565</v>
      </c>
      <c r="B93" s="54">
        <v>804</v>
      </c>
      <c r="C93" s="56" t="s">
        <v>70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s="1" customFormat="1" x14ac:dyDescent="0.3">
      <c r="A94" s="53">
        <f>Note!$B$2</f>
        <v>2565</v>
      </c>
      <c r="B94" s="54">
        <v>805</v>
      </c>
      <c r="C94" s="56" t="s">
        <v>71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s="1" customFormat="1" x14ac:dyDescent="0.3">
      <c r="A95" s="53">
        <f>Note!$B$2</f>
        <v>2565</v>
      </c>
      <c r="B95" s="54">
        <v>806</v>
      </c>
      <c r="C95" s="56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s="1" customFormat="1" x14ac:dyDescent="0.3">
      <c r="A96" s="53">
        <f>Note!$B$2</f>
        <v>2565</v>
      </c>
      <c r="B96" s="54">
        <v>807</v>
      </c>
      <c r="C96" s="56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s="1" customFormat="1" x14ac:dyDescent="0.3">
      <c r="A97" s="53">
        <f>Note!$B$2</f>
        <v>2565</v>
      </c>
      <c r="B97" s="54">
        <v>808</v>
      </c>
      <c r="C97" s="56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s="1" customFormat="1" x14ac:dyDescent="0.3">
      <c r="A98" s="53">
        <f>Note!$B$2</f>
        <v>2565</v>
      </c>
      <c r="B98" s="54">
        <v>809</v>
      </c>
      <c r="C98" s="56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s="1" customFormat="1" x14ac:dyDescent="0.3">
      <c r="A99" s="53">
        <f>Note!$B$2</f>
        <v>2565</v>
      </c>
      <c r="B99" s="54">
        <v>810</v>
      </c>
      <c r="C99" s="56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s="1" customFormat="1" x14ac:dyDescent="0.3">
      <c r="A100" s="61" t="s">
        <v>87</v>
      </c>
      <c r="B100" s="57"/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 spans="1:16" s="1" customFormat="1" x14ac:dyDescent="0.3">
      <c r="A101" s="59">
        <f>Note!$B$2</f>
        <v>2565</v>
      </c>
      <c r="B101" s="54">
        <v>901</v>
      </c>
      <c r="C101" s="56" t="s">
        <v>72</v>
      </c>
      <c r="D101" s="4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s="1" customFormat="1" x14ac:dyDescent="0.3">
      <c r="A102" s="59">
        <f>Note!$B$2</f>
        <v>2565</v>
      </c>
      <c r="B102" s="54">
        <v>902</v>
      </c>
      <c r="C102" s="56" t="s">
        <v>73</v>
      </c>
      <c r="D102" s="44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s="1" customFormat="1" x14ac:dyDescent="0.3">
      <c r="A103" s="59">
        <f>Note!$B$2</f>
        <v>2565</v>
      </c>
      <c r="B103" s="54">
        <v>903</v>
      </c>
      <c r="C103" s="56" t="s">
        <v>74</v>
      </c>
      <c r="D103" s="44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s="1" customFormat="1" x14ac:dyDescent="0.3">
      <c r="A104" s="59">
        <f>Note!$B$2</f>
        <v>2565</v>
      </c>
      <c r="B104" s="54">
        <v>904</v>
      </c>
      <c r="C104" s="56" t="s">
        <v>75</v>
      </c>
      <c r="D104" s="4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s="1" customFormat="1" x14ac:dyDescent="0.3">
      <c r="A105" s="59">
        <f>Note!$B$2</f>
        <v>2565</v>
      </c>
      <c r="B105" s="54">
        <v>905</v>
      </c>
      <c r="C105" s="56" t="s">
        <v>76</v>
      </c>
      <c r="D105" s="44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s="1" customFormat="1" x14ac:dyDescent="0.3">
      <c r="A106" s="59">
        <f>Note!$B$2</f>
        <v>2565</v>
      </c>
      <c r="B106" s="54">
        <v>906</v>
      </c>
      <c r="C106" s="56" t="s">
        <v>77</v>
      </c>
      <c r="D106" s="44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s="1" customFormat="1" x14ac:dyDescent="0.3">
      <c r="A107" s="59">
        <f>Note!$B$2</f>
        <v>2565</v>
      </c>
      <c r="B107" s="54">
        <v>907</v>
      </c>
      <c r="C107" s="56" t="s">
        <v>78</v>
      </c>
      <c r="D107" s="4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s="1" customFormat="1" x14ac:dyDescent="0.3">
      <c r="A108" s="59">
        <f>Note!$B$2</f>
        <v>2565</v>
      </c>
      <c r="B108" s="54">
        <v>908</v>
      </c>
      <c r="C108" s="56" t="s">
        <v>79</v>
      </c>
      <c r="D108" s="4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s="1" customFormat="1" x14ac:dyDescent="0.3">
      <c r="A109" s="59">
        <f>Note!$B$2</f>
        <v>2565</v>
      </c>
      <c r="B109" s="54">
        <v>909</v>
      </c>
      <c r="C109" s="56" t="s">
        <v>80</v>
      </c>
      <c r="D109" s="4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s="1" customFormat="1" x14ac:dyDescent="0.3">
      <c r="A110" s="59">
        <f>Note!$B$2</f>
        <v>2565</v>
      </c>
      <c r="B110" s="54">
        <v>910</v>
      </c>
      <c r="C110" s="56" t="s">
        <v>81</v>
      </c>
      <c r="D110" s="4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s="1" customFormat="1" x14ac:dyDescent="0.3">
      <c r="A111" s="59">
        <f>Note!$B$2</f>
        <v>2565</v>
      </c>
      <c r="B111" s="54">
        <v>911</v>
      </c>
      <c r="C111" s="56"/>
      <c r="D111" s="4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s="1" customFormat="1" x14ac:dyDescent="0.3">
      <c r="A112" s="59">
        <f>Note!$B$2</f>
        <v>2565</v>
      </c>
      <c r="B112" s="54">
        <v>912</v>
      </c>
      <c r="C112" s="56"/>
      <c r="D112" s="4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s="1" customFormat="1" x14ac:dyDescent="0.3">
      <c r="A113" s="59">
        <f>Note!$B$2</f>
        <v>2565</v>
      </c>
      <c r="B113" s="54">
        <v>913</v>
      </c>
      <c r="C113" s="56"/>
      <c r="D113" s="44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s="1" customFormat="1" x14ac:dyDescent="0.3">
      <c r="A114" s="59">
        <f>Note!$B$2</f>
        <v>2565</v>
      </c>
      <c r="B114" s="54">
        <v>914</v>
      </c>
      <c r="C114" s="56"/>
      <c r="D114" s="4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s="1" customFormat="1" x14ac:dyDescent="0.3">
      <c r="A115" s="59">
        <f>Note!$B$2</f>
        <v>2565</v>
      </c>
      <c r="B115" s="54">
        <v>915</v>
      </c>
      <c r="C115" s="56"/>
      <c r="D115" s="4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s="1" customFormat="1" x14ac:dyDescent="0.3">
      <c r="A116" s="59">
        <f>Note!$B$2</f>
        <v>2565</v>
      </c>
      <c r="B116" s="54">
        <v>916</v>
      </c>
      <c r="C116" s="56"/>
      <c r="D116" s="4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s="1" customFormat="1" x14ac:dyDescent="0.3">
      <c r="A117" s="59">
        <f>Note!$B$2</f>
        <v>2565</v>
      </c>
      <c r="B117" s="54">
        <v>917</v>
      </c>
      <c r="C117" s="62"/>
      <c r="D117" s="4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s="1" customFormat="1" x14ac:dyDescent="0.3">
      <c r="A118" s="59">
        <f>Note!$B$2</f>
        <v>2565</v>
      </c>
      <c r="B118" s="54">
        <v>918</v>
      </c>
      <c r="C118" s="56"/>
      <c r="D118" s="4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s="1" customFormat="1" x14ac:dyDescent="0.3">
      <c r="A119" s="59">
        <f>Note!$B$2</f>
        <v>2565</v>
      </c>
      <c r="B119" s="54">
        <v>919</v>
      </c>
      <c r="C119" s="56"/>
      <c r="D119" s="4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s="1" customFormat="1" x14ac:dyDescent="0.3">
      <c r="A120" s="59">
        <f>Note!$B$2</f>
        <v>2565</v>
      </c>
      <c r="B120" s="54">
        <v>920</v>
      </c>
      <c r="C120" s="56"/>
      <c r="D120" s="4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</sheetData>
  <mergeCells count="4">
    <mergeCell ref="D2:F2"/>
    <mergeCell ref="N2:O2"/>
    <mergeCell ref="G2:L2"/>
    <mergeCell ref="P2:P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93"/>
  <sheetViews>
    <sheetView topLeftCell="A22" workbookViewId="0">
      <selection activeCell="A11" sqref="A11:XFD11"/>
    </sheetView>
  </sheetViews>
  <sheetFormatPr defaultColWidth="8.75" defaultRowHeight="20.25" customHeight="1" x14ac:dyDescent="0.3"/>
  <cols>
    <col min="1" max="1" width="7.375" style="1" customWidth="1"/>
    <col min="2" max="3" width="8.75" style="1"/>
    <col min="4" max="4" width="11" style="1" customWidth="1"/>
    <col min="5" max="5" width="11.375" style="1" customWidth="1"/>
    <col min="6" max="6" width="12.125" style="1" customWidth="1"/>
    <col min="7" max="7" width="11.25" style="1" customWidth="1"/>
    <col min="8" max="8" width="10.375" style="1" customWidth="1"/>
    <col min="9" max="9" width="11.75" style="1" customWidth="1"/>
    <col min="10" max="10" width="10.25" style="1" customWidth="1"/>
    <col min="11" max="11" width="11.375" style="1" customWidth="1"/>
    <col min="12" max="12" width="10.125" style="1" customWidth="1"/>
    <col min="13" max="13" width="10.625" style="1" customWidth="1"/>
    <col min="14" max="14" width="11.25" style="1" bestFit="1" customWidth="1"/>
    <col min="15" max="15" width="9.75" style="1" bestFit="1" customWidth="1"/>
    <col min="16" max="16" width="11.25" style="1" bestFit="1" customWidth="1"/>
    <col min="17" max="17" width="12.875" style="1" customWidth="1"/>
    <col min="18" max="18" width="12" style="1" customWidth="1"/>
    <col min="19" max="19" width="15.25" style="1" customWidth="1"/>
    <col min="20" max="16384" width="8.75" style="1"/>
  </cols>
  <sheetData>
    <row r="2" spans="1:19" ht="20.25" customHeight="1" x14ac:dyDescent="0.3">
      <c r="A2" s="141" t="s">
        <v>212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</row>
    <row r="3" spans="1:19" ht="20.25" customHeight="1" x14ac:dyDescent="0.3">
      <c r="A3" s="135" t="s">
        <v>208</v>
      </c>
      <c r="B3" s="135" t="s">
        <v>207</v>
      </c>
      <c r="C3" s="135"/>
      <c r="D3" s="135"/>
      <c r="E3" s="146" t="s">
        <v>206</v>
      </c>
      <c r="F3" s="146"/>
      <c r="G3" s="146"/>
      <c r="H3" s="138" t="s">
        <v>205</v>
      </c>
      <c r="I3" s="138"/>
      <c r="J3" s="138"/>
      <c r="K3" s="133" t="s">
        <v>204</v>
      </c>
      <c r="L3" s="133"/>
      <c r="M3" s="133"/>
      <c r="N3" s="134" t="s">
        <v>203</v>
      </c>
      <c r="O3" s="134"/>
      <c r="P3" s="134"/>
      <c r="Q3" s="135" t="s">
        <v>10</v>
      </c>
      <c r="R3" s="136" t="s">
        <v>18</v>
      </c>
      <c r="S3" s="136" t="s">
        <v>19</v>
      </c>
    </row>
    <row r="4" spans="1:19" ht="20.25" customHeight="1" x14ac:dyDescent="0.3">
      <c r="A4" s="135"/>
      <c r="B4" s="135"/>
      <c r="C4" s="135"/>
      <c r="D4" s="135"/>
      <c r="E4" s="37" t="s">
        <v>202</v>
      </c>
      <c r="F4" s="37" t="s">
        <v>201</v>
      </c>
      <c r="G4" s="37" t="s">
        <v>200</v>
      </c>
      <c r="H4" s="36" t="s">
        <v>199</v>
      </c>
      <c r="I4" s="36" t="s">
        <v>198</v>
      </c>
      <c r="J4" s="36" t="s">
        <v>197</v>
      </c>
      <c r="K4" s="35" t="s">
        <v>196</v>
      </c>
      <c r="L4" s="35" t="s">
        <v>195</v>
      </c>
      <c r="M4" s="35" t="s">
        <v>194</v>
      </c>
      <c r="N4" s="34" t="s">
        <v>193</v>
      </c>
      <c r="O4" s="34" t="s">
        <v>192</v>
      </c>
      <c r="P4" s="34" t="s">
        <v>191</v>
      </c>
      <c r="Q4" s="135"/>
      <c r="R4" s="137"/>
      <c r="S4" s="137"/>
    </row>
    <row r="5" spans="1:19" ht="20.25" customHeight="1" x14ac:dyDescent="0.3">
      <c r="A5" s="17">
        <v>1</v>
      </c>
      <c r="B5" s="140" t="s">
        <v>190</v>
      </c>
      <c r="C5" s="140"/>
      <c r="D5" s="140"/>
      <c r="E5" s="16"/>
      <c r="F5" s="16">
        <v>176100</v>
      </c>
      <c r="G5" s="16"/>
      <c r="H5" s="15"/>
      <c r="I5" s="15"/>
      <c r="J5" s="32"/>
      <c r="K5" s="14"/>
      <c r="L5" s="14"/>
      <c r="M5" s="14"/>
      <c r="N5" s="13"/>
      <c r="O5" s="13"/>
      <c r="P5" s="13"/>
      <c r="Q5" s="11">
        <f t="shared" ref="Q5:Q40" si="0">SUM(E5:P5)</f>
        <v>176100</v>
      </c>
      <c r="R5" s="33"/>
      <c r="S5" s="9"/>
    </row>
    <row r="6" spans="1:19" ht="20.25" customHeight="1" x14ac:dyDescent="0.3">
      <c r="A6" s="17">
        <v>2</v>
      </c>
      <c r="B6" s="143" t="s">
        <v>1</v>
      </c>
      <c r="C6" s="144"/>
      <c r="D6" s="145"/>
      <c r="E6" s="16"/>
      <c r="F6" s="16">
        <v>312200</v>
      </c>
      <c r="G6" s="16"/>
      <c r="H6" s="15"/>
      <c r="I6" s="15"/>
      <c r="J6" s="32"/>
      <c r="K6" s="14"/>
      <c r="L6" s="14"/>
      <c r="M6" s="14"/>
      <c r="N6" s="13"/>
      <c r="O6" s="13"/>
      <c r="P6" s="13"/>
      <c r="Q6" s="11">
        <f t="shared" si="0"/>
        <v>312200</v>
      </c>
      <c r="R6" s="10"/>
      <c r="S6" s="9"/>
    </row>
    <row r="7" spans="1:19" ht="20.25" customHeight="1" x14ac:dyDescent="0.3">
      <c r="A7" s="17">
        <v>3</v>
      </c>
      <c r="B7" s="142" t="s">
        <v>189</v>
      </c>
      <c r="C7" s="142"/>
      <c r="D7" s="142"/>
      <c r="E7" s="16"/>
      <c r="F7" s="16">
        <v>240000</v>
      </c>
      <c r="G7" s="16"/>
      <c r="H7" s="15"/>
      <c r="I7" s="15"/>
      <c r="J7" s="26"/>
      <c r="K7" s="14"/>
      <c r="L7" s="14"/>
      <c r="M7" s="14"/>
      <c r="N7" s="13"/>
      <c r="O7" s="13"/>
      <c r="P7" s="13"/>
      <c r="Q7" s="11">
        <f t="shared" si="0"/>
        <v>240000</v>
      </c>
      <c r="R7" s="10"/>
      <c r="S7" s="9"/>
    </row>
    <row r="8" spans="1:19" ht="20.25" customHeight="1" x14ac:dyDescent="0.3">
      <c r="A8" s="17">
        <v>4</v>
      </c>
      <c r="B8" s="140" t="s">
        <v>2</v>
      </c>
      <c r="C8" s="140"/>
      <c r="D8" s="140"/>
      <c r="E8" s="16"/>
      <c r="F8" s="16">
        <v>272000</v>
      </c>
      <c r="G8" s="16"/>
      <c r="H8" s="15"/>
      <c r="I8" s="15"/>
      <c r="J8" s="26"/>
      <c r="K8" s="14"/>
      <c r="L8" s="14"/>
      <c r="M8" s="14"/>
      <c r="N8" s="13"/>
      <c r="O8" s="13"/>
      <c r="P8" s="13"/>
      <c r="Q8" s="11">
        <f t="shared" si="0"/>
        <v>272000</v>
      </c>
      <c r="R8" s="10"/>
      <c r="S8" s="9"/>
    </row>
    <row r="9" spans="1:19" ht="20.25" customHeight="1" x14ac:dyDescent="0.3">
      <c r="A9" s="17">
        <v>5</v>
      </c>
      <c r="B9" s="140" t="s">
        <v>188</v>
      </c>
      <c r="C9" s="140"/>
      <c r="D9" s="140"/>
      <c r="E9" s="16"/>
      <c r="F9" s="16">
        <v>24040</v>
      </c>
      <c r="G9" s="16"/>
      <c r="H9" s="15"/>
      <c r="I9" s="15"/>
      <c r="J9" s="26"/>
      <c r="K9" s="14"/>
      <c r="L9" s="14"/>
      <c r="M9" s="14"/>
      <c r="N9" s="13"/>
      <c r="O9" s="13"/>
      <c r="P9" s="13"/>
      <c r="Q9" s="11">
        <f t="shared" si="0"/>
        <v>24040</v>
      </c>
      <c r="R9" s="10"/>
      <c r="S9" s="9"/>
    </row>
    <row r="10" spans="1:19" ht="20.25" customHeight="1" x14ac:dyDescent="0.3">
      <c r="A10" s="17">
        <v>6</v>
      </c>
      <c r="B10" s="140" t="s">
        <v>24</v>
      </c>
      <c r="C10" s="140"/>
      <c r="D10" s="140"/>
      <c r="E10" s="16">
        <v>765050</v>
      </c>
      <c r="F10" s="16"/>
      <c r="G10" s="16"/>
      <c r="H10" s="15"/>
      <c r="I10" s="15"/>
      <c r="J10" s="26"/>
      <c r="K10" s="14"/>
      <c r="L10" s="14"/>
      <c r="M10" s="14"/>
      <c r="N10" s="13"/>
      <c r="O10" s="13"/>
      <c r="P10" s="13"/>
      <c r="Q10" s="11">
        <f t="shared" si="0"/>
        <v>765050</v>
      </c>
      <c r="R10" s="10"/>
      <c r="S10" s="9"/>
    </row>
    <row r="11" spans="1:19" ht="20.25" customHeight="1" x14ac:dyDescent="0.3">
      <c r="A11" s="17">
        <v>7</v>
      </c>
      <c r="B11" s="140" t="s">
        <v>187</v>
      </c>
      <c r="C11" s="140"/>
      <c r="D11" s="140"/>
      <c r="E11" s="16"/>
      <c r="F11" s="16"/>
      <c r="G11" s="16"/>
      <c r="H11" s="15"/>
      <c r="I11" s="15"/>
      <c r="J11" s="26">
        <v>85000</v>
      </c>
      <c r="K11" s="14"/>
      <c r="L11" s="14"/>
      <c r="M11" s="14"/>
      <c r="N11" s="13"/>
      <c r="O11" s="13"/>
      <c r="P11" s="13"/>
      <c r="Q11" s="11">
        <f t="shared" si="0"/>
        <v>85000</v>
      </c>
      <c r="R11" s="10"/>
      <c r="S11" s="9"/>
    </row>
    <row r="12" spans="1:19" ht="20.25" customHeight="1" x14ac:dyDescent="0.3">
      <c r="A12" s="17">
        <v>8</v>
      </c>
      <c r="B12" s="140" t="s">
        <v>186</v>
      </c>
      <c r="C12" s="140"/>
      <c r="D12" s="140"/>
      <c r="E12" s="30"/>
      <c r="F12" s="16">
        <v>286900</v>
      </c>
      <c r="G12" s="16"/>
      <c r="H12" s="15"/>
      <c r="I12" s="15"/>
      <c r="J12" s="26"/>
      <c r="K12" s="14"/>
      <c r="L12" s="14"/>
      <c r="M12" s="14"/>
      <c r="N12" s="13"/>
      <c r="O12" s="13"/>
      <c r="P12" s="13"/>
      <c r="Q12" s="11">
        <f t="shared" si="0"/>
        <v>286900</v>
      </c>
      <c r="R12" s="31"/>
      <c r="S12" s="9"/>
    </row>
    <row r="13" spans="1:19" ht="20.25" customHeight="1" x14ac:dyDescent="0.3">
      <c r="A13" s="17">
        <v>9</v>
      </c>
      <c r="B13" s="140" t="s">
        <v>185</v>
      </c>
      <c r="C13" s="140"/>
      <c r="D13" s="140"/>
      <c r="E13" s="16"/>
      <c r="F13" s="16">
        <v>138920</v>
      </c>
      <c r="G13" s="16"/>
      <c r="H13" s="15"/>
      <c r="I13" s="15"/>
      <c r="J13" s="26"/>
      <c r="K13" s="14"/>
      <c r="L13" s="14"/>
      <c r="M13" s="14"/>
      <c r="N13" s="13"/>
      <c r="O13" s="13"/>
      <c r="P13" s="13"/>
      <c r="Q13" s="11">
        <f t="shared" si="0"/>
        <v>138920</v>
      </c>
      <c r="R13" s="10"/>
      <c r="S13" s="9"/>
    </row>
    <row r="14" spans="1:19" ht="20.25" customHeight="1" x14ac:dyDescent="0.3">
      <c r="A14" s="17">
        <v>10</v>
      </c>
      <c r="B14" s="140" t="s">
        <v>68</v>
      </c>
      <c r="C14" s="140"/>
      <c r="D14" s="140"/>
      <c r="E14" s="16"/>
      <c r="F14" s="16"/>
      <c r="G14" s="16"/>
      <c r="H14" s="15"/>
      <c r="I14" s="15"/>
      <c r="J14" s="26"/>
      <c r="K14" s="14"/>
      <c r="L14" s="14"/>
      <c r="M14" s="14"/>
      <c r="N14" s="13"/>
      <c r="O14" s="13"/>
      <c r="P14" s="13"/>
      <c r="Q14" s="11">
        <f t="shared" si="0"/>
        <v>0</v>
      </c>
      <c r="R14" s="10"/>
      <c r="S14" s="9"/>
    </row>
    <row r="15" spans="1:19" ht="20.25" customHeight="1" x14ac:dyDescent="0.3">
      <c r="A15" s="17">
        <v>11</v>
      </c>
      <c r="B15" s="140" t="s">
        <v>184</v>
      </c>
      <c r="C15" s="140"/>
      <c r="D15" s="140"/>
      <c r="E15" s="30"/>
      <c r="F15" s="30">
        <v>1907050</v>
      </c>
      <c r="G15" s="29"/>
      <c r="H15" s="15"/>
      <c r="I15" s="15"/>
      <c r="J15" s="26"/>
      <c r="K15" s="14"/>
      <c r="L15" s="14"/>
      <c r="M15" s="14"/>
      <c r="N15" s="13"/>
      <c r="O15" s="13"/>
      <c r="P15" s="13"/>
      <c r="Q15" s="11">
        <f t="shared" si="0"/>
        <v>1907050</v>
      </c>
      <c r="R15" s="10"/>
      <c r="S15" s="9"/>
    </row>
    <row r="16" spans="1:19" ht="20.25" customHeight="1" x14ac:dyDescent="0.3">
      <c r="A16" s="17">
        <v>12</v>
      </c>
      <c r="B16" s="140" t="s">
        <v>67</v>
      </c>
      <c r="C16" s="140"/>
      <c r="D16" s="140"/>
      <c r="E16" s="16"/>
      <c r="F16" s="16">
        <v>604000</v>
      </c>
      <c r="G16" s="16"/>
      <c r="H16" s="15"/>
      <c r="I16" s="15"/>
      <c r="J16" s="26"/>
      <c r="K16" s="14"/>
      <c r="L16" s="14"/>
      <c r="M16" s="14"/>
      <c r="N16" s="13"/>
      <c r="O16" s="13"/>
      <c r="P16" s="13"/>
      <c r="Q16" s="11">
        <f t="shared" si="0"/>
        <v>604000</v>
      </c>
      <c r="R16" s="10"/>
      <c r="S16" s="9"/>
    </row>
    <row r="17" spans="1:19" ht="20.25" customHeight="1" x14ac:dyDescent="0.3">
      <c r="A17" s="17">
        <v>13</v>
      </c>
      <c r="B17" s="140" t="s">
        <v>183</v>
      </c>
      <c r="C17" s="140"/>
      <c r="D17" s="140"/>
      <c r="E17" s="16"/>
      <c r="F17" s="28"/>
      <c r="G17" s="16"/>
      <c r="H17" s="15"/>
      <c r="I17" s="15"/>
      <c r="J17" s="26"/>
      <c r="K17" s="14"/>
      <c r="L17" s="14"/>
      <c r="M17" s="14"/>
      <c r="N17" s="13"/>
      <c r="O17" s="13"/>
      <c r="P17" s="13"/>
      <c r="Q17" s="11">
        <f t="shared" si="0"/>
        <v>0</v>
      </c>
      <c r="R17" s="10"/>
      <c r="S17" s="9"/>
    </row>
    <row r="18" spans="1:19" ht="20.25" customHeight="1" x14ac:dyDescent="0.3">
      <c r="A18" s="17">
        <v>14</v>
      </c>
      <c r="B18" s="143" t="s">
        <v>182</v>
      </c>
      <c r="C18" s="144"/>
      <c r="D18" s="145"/>
      <c r="E18" s="16">
        <v>1500000</v>
      </c>
      <c r="F18" s="28"/>
      <c r="G18" s="16"/>
      <c r="H18" s="15"/>
      <c r="I18" s="15"/>
      <c r="J18" s="26"/>
      <c r="K18" s="14"/>
      <c r="L18" s="14"/>
      <c r="M18" s="14"/>
      <c r="N18" s="13"/>
      <c r="O18" s="13"/>
      <c r="P18" s="13"/>
      <c r="Q18" s="11">
        <f t="shared" si="0"/>
        <v>1500000</v>
      </c>
      <c r="R18" s="10"/>
      <c r="S18" s="9"/>
    </row>
    <row r="19" spans="1:19" ht="20.25" customHeight="1" x14ac:dyDescent="0.3">
      <c r="A19" s="17">
        <v>15</v>
      </c>
      <c r="B19" s="143" t="s">
        <v>181</v>
      </c>
      <c r="C19" s="144"/>
      <c r="D19" s="145"/>
      <c r="E19" s="16">
        <v>2000000</v>
      </c>
      <c r="F19" s="28"/>
      <c r="G19" s="16"/>
      <c r="H19" s="15"/>
      <c r="I19" s="15"/>
      <c r="J19" s="26"/>
      <c r="K19" s="14"/>
      <c r="L19" s="14"/>
      <c r="M19" s="14"/>
      <c r="N19" s="13"/>
      <c r="O19" s="13"/>
      <c r="P19" s="13"/>
      <c r="Q19" s="11">
        <f t="shared" si="0"/>
        <v>2000000</v>
      </c>
      <c r="R19" s="10"/>
      <c r="S19" s="9"/>
    </row>
    <row r="20" spans="1:19" ht="20.25" customHeight="1" x14ac:dyDescent="0.3">
      <c r="A20" s="17">
        <v>16</v>
      </c>
      <c r="B20" s="140" t="s">
        <v>180</v>
      </c>
      <c r="C20" s="140"/>
      <c r="D20" s="140"/>
      <c r="E20" s="16"/>
      <c r="F20" s="16"/>
      <c r="G20" s="16"/>
      <c r="H20" s="15"/>
      <c r="I20" s="15"/>
      <c r="J20" s="26"/>
      <c r="K20" s="14"/>
      <c r="L20" s="14"/>
      <c r="M20" s="14"/>
      <c r="N20" s="13"/>
      <c r="O20" s="13"/>
      <c r="P20" s="13"/>
      <c r="Q20" s="11">
        <f t="shared" si="0"/>
        <v>0</v>
      </c>
      <c r="R20" s="10"/>
      <c r="S20" s="9"/>
    </row>
    <row r="21" spans="1:19" ht="20.25" customHeight="1" x14ac:dyDescent="0.3">
      <c r="A21" s="17">
        <v>17</v>
      </c>
      <c r="B21" s="140" t="s">
        <v>179</v>
      </c>
      <c r="C21" s="140"/>
      <c r="D21" s="140"/>
      <c r="E21" s="16"/>
      <c r="F21" s="16"/>
      <c r="G21" s="16"/>
      <c r="H21" s="15"/>
      <c r="I21" s="15"/>
      <c r="J21" s="26"/>
      <c r="K21" s="14"/>
      <c r="L21" s="14"/>
      <c r="M21" s="14"/>
      <c r="N21" s="13"/>
      <c r="O21" s="13"/>
      <c r="P21" s="13"/>
      <c r="Q21" s="11">
        <f t="shared" si="0"/>
        <v>0</v>
      </c>
      <c r="R21" s="10"/>
      <c r="S21" s="9"/>
    </row>
    <row r="22" spans="1:19" ht="20.25" customHeight="1" x14ac:dyDescent="0.3">
      <c r="A22" s="17">
        <v>18</v>
      </c>
      <c r="B22" s="140" t="s">
        <v>178</v>
      </c>
      <c r="C22" s="140"/>
      <c r="D22" s="140"/>
      <c r="E22" s="16"/>
      <c r="F22" s="16"/>
      <c r="G22" s="16"/>
      <c r="H22" s="15"/>
      <c r="I22" s="15"/>
      <c r="J22" s="26"/>
      <c r="K22" s="14"/>
      <c r="L22" s="14"/>
      <c r="M22" s="14"/>
      <c r="N22" s="13"/>
      <c r="O22" s="13"/>
      <c r="P22" s="13"/>
      <c r="Q22" s="11">
        <f t="shared" si="0"/>
        <v>0</v>
      </c>
      <c r="R22" s="10"/>
      <c r="S22" s="9"/>
    </row>
    <row r="23" spans="1:19" ht="20.25" customHeight="1" x14ac:dyDescent="0.3">
      <c r="A23" s="17">
        <v>19</v>
      </c>
      <c r="B23" s="140" t="s">
        <v>177</v>
      </c>
      <c r="C23" s="140"/>
      <c r="D23" s="140"/>
      <c r="E23" s="16"/>
      <c r="F23" s="16"/>
      <c r="G23" s="16"/>
      <c r="H23" s="15"/>
      <c r="I23" s="15">
        <v>89900</v>
      </c>
      <c r="J23" s="26"/>
      <c r="K23" s="14"/>
      <c r="L23" s="14"/>
      <c r="M23" s="14"/>
      <c r="N23" s="13"/>
      <c r="O23" s="13"/>
      <c r="P23" s="13"/>
      <c r="Q23" s="11">
        <f t="shared" si="0"/>
        <v>89900</v>
      </c>
      <c r="R23" s="10"/>
      <c r="S23" s="9"/>
    </row>
    <row r="24" spans="1:19" ht="20.25" customHeight="1" x14ac:dyDescent="0.3">
      <c r="A24" s="17">
        <v>20</v>
      </c>
      <c r="B24" s="140" t="s">
        <v>176</v>
      </c>
      <c r="C24" s="140"/>
      <c r="D24" s="140"/>
      <c r="E24" s="16"/>
      <c r="F24" s="16"/>
      <c r="G24" s="16"/>
      <c r="H24" s="15"/>
      <c r="I24" s="15"/>
      <c r="J24" s="15"/>
      <c r="K24" s="14"/>
      <c r="L24" s="14"/>
      <c r="M24" s="14"/>
      <c r="N24" s="13"/>
      <c r="O24" s="13"/>
      <c r="P24" s="13"/>
      <c r="Q24" s="11">
        <f t="shared" si="0"/>
        <v>0</v>
      </c>
      <c r="R24" s="10"/>
      <c r="S24" s="9"/>
    </row>
    <row r="25" spans="1:19" ht="20.25" customHeight="1" x14ac:dyDescent="0.5">
      <c r="A25" s="17">
        <v>21</v>
      </c>
      <c r="B25" s="140" t="s">
        <v>175</v>
      </c>
      <c r="C25" s="140"/>
      <c r="D25" s="140"/>
      <c r="E25" s="16"/>
      <c r="F25" s="16"/>
      <c r="G25" s="16"/>
      <c r="H25" s="15"/>
      <c r="I25" s="15"/>
      <c r="J25" s="15"/>
      <c r="K25" s="14"/>
      <c r="L25" s="14"/>
      <c r="M25" s="14"/>
      <c r="N25" s="13"/>
      <c r="O25" s="13"/>
      <c r="P25" s="13"/>
      <c r="Q25" s="11">
        <f t="shared" si="0"/>
        <v>0</v>
      </c>
      <c r="R25" s="10"/>
      <c r="S25" s="9"/>
    </row>
    <row r="26" spans="1:19" ht="20.25" customHeight="1" x14ac:dyDescent="0.3">
      <c r="A26" s="17">
        <v>22</v>
      </c>
      <c r="B26" s="140" t="s">
        <v>174</v>
      </c>
      <c r="C26" s="140"/>
      <c r="D26" s="140"/>
      <c r="E26" s="16"/>
      <c r="F26" s="16"/>
      <c r="G26" s="16">
        <v>58800</v>
      </c>
      <c r="H26" s="15"/>
      <c r="I26" s="15"/>
      <c r="J26" s="15"/>
      <c r="K26" s="14"/>
      <c r="L26" s="14"/>
      <c r="M26" s="14"/>
      <c r="N26" s="13"/>
      <c r="O26" s="13"/>
      <c r="P26" s="13"/>
      <c r="Q26" s="11">
        <f t="shared" si="0"/>
        <v>58800</v>
      </c>
      <c r="R26" s="10"/>
      <c r="S26" s="9"/>
    </row>
    <row r="27" spans="1:19" ht="20.25" customHeight="1" x14ac:dyDescent="0.3">
      <c r="A27" s="17">
        <v>23</v>
      </c>
      <c r="B27" s="140" t="s">
        <v>173</v>
      </c>
      <c r="C27" s="140"/>
      <c r="D27" s="140"/>
      <c r="E27" s="16"/>
      <c r="F27" s="16"/>
      <c r="G27" s="16">
        <v>94800</v>
      </c>
      <c r="H27" s="15"/>
      <c r="I27" s="15"/>
      <c r="J27" s="15"/>
      <c r="K27" s="14"/>
      <c r="L27" s="14"/>
      <c r="M27" s="14"/>
      <c r="N27" s="13"/>
      <c r="O27" s="13"/>
      <c r="P27" s="13"/>
      <c r="Q27" s="11">
        <f t="shared" si="0"/>
        <v>94800</v>
      </c>
      <c r="R27" s="10"/>
      <c r="S27" s="9"/>
    </row>
    <row r="28" spans="1:19" ht="20.25" customHeight="1" x14ac:dyDescent="0.3">
      <c r="A28" s="17">
        <v>24</v>
      </c>
      <c r="B28" s="140" t="s">
        <v>172</v>
      </c>
      <c r="C28" s="140"/>
      <c r="D28" s="140"/>
      <c r="E28" s="16"/>
      <c r="F28" s="16"/>
      <c r="G28" s="16"/>
      <c r="H28" s="15"/>
      <c r="I28" s="15"/>
      <c r="J28" s="15"/>
      <c r="K28" s="14"/>
      <c r="L28" s="14"/>
      <c r="M28" s="14"/>
      <c r="N28" s="13"/>
      <c r="O28" s="13"/>
      <c r="P28" s="13"/>
      <c r="Q28" s="11">
        <f t="shared" si="0"/>
        <v>0</v>
      </c>
      <c r="R28" s="10"/>
      <c r="S28" s="9"/>
    </row>
    <row r="29" spans="1:19" ht="20.25" customHeight="1" x14ac:dyDescent="0.3">
      <c r="A29" s="17">
        <v>25</v>
      </c>
      <c r="B29" s="143" t="s">
        <v>171</v>
      </c>
      <c r="C29" s="144"/>
      <c r="D29" s="145"/>
      <c r="E29" s="16"/>
      <c r="F29" s="16"/>
      <c r="G29" s="16"/>
      <c r="H29" s="15"/>
      <c r="I29" s="15"/>
      <c r="J29" s="15"/>
      <c r="K29" s="14"/>
      <c r="L29" s="14"/>
      <c r="M29" s="14"/>
      <c r="N29" s="13"/>
      <c r="O29" s="13"/>
      <c r="P29" s="13"/>
      <c r="Q29" s="11">
        <f t="shared" si="0"/>
        <v>0</v>
      </c>
      <c r="R29" s="10"/>
      <c r="S29" s="9"/>
    </row>
    <row r="30" spans="1:19" ht="20.25" customHeight="1" x14ac:dyDescent="0.3">
      <c r="A30" s="17">
        <v>26</v>
      </c>
      <c r="B30" s="140" t="s">
        <v>170</v>
      </c>
      <c r="C30" s="140"/>
      <c r="D30" s="140"/>
      <c r="E30" s="16"/>
      <c r="F30" s="16"/>
      <c r="G30" s="16"/>
      <c r="H30" s="15"/>
      <c r="I30" s="15"/>
      <c r="J30" s="15"/>
      <c r="K30" s="14"/>
      <c r="L30" s="14"/>
      <c r="M30" s="14"/>
      <c r="N30" s="13"/>
      <c r="O30" s="13"/>
      <c r="P30" s="13"/>
      <c r="Q30" s="11">
        <f t="shared" si="0"/>
        <v>0</v>
      </c>
      <c r="R30" s="10"/>
      <c r="S30" s="9"/>
    </row>
    <row r="31" spans="1:19" s="21" customFormat="1" ht="20.25" customHeight="1" x14ac:dyDescent="0.3">
      <c r="A31" s="17">
        <v>27</v>
      </c>
      <c r="B31" s="140" t="s">
        <v>169</v>
      </c>
      <c r="C31" s="140"/>
      <c r="D31" s="140"/>
      <c r="E31" s="27"/>
      <c r="F31" s="27"/>
      <c r="G31" s="27"/>
      <c r="H31" s="26"/>
      <c r="I31" s="26"/>
      <c r="J31" s="26"/>
      <c r="K31" s="25"/>
      <c r="L31" s="25"/>
      <c r="M31" s="25"/>
      <c r="N31" s="24"/>
      <c r="O31" s="24"/>
      <c r="P31" s="24"/>
      <c r="Q31" s="11">
        <f t="shared" si="0"/>
        <v>0</v>
      </c>
      <c r="R31" s="23"/>
      <c r="S31" s="22"/>
    </row>
    <row r="32" spans="1:19" ht="20.25" customHeight="1" x14ac:dyDescent="0.3">
      <c r="A32" s="17">
        <v>28</v>
      </c>
      <c r="B32" s="143" t="s">
        <v>168</v>
      </c>
      <c r="C32" s="144"/>
      <c r="D32" s="145"/>
      <c r="E32" s="16"/>
      <c r="F32" s="16"/>
      <c r="G32" s="16"/>
      <c r="H32" s="15"/>
      <c r="I32" s="15"/>
      <c r="J32" s="15"/>
      <c r="K32" s="14"/>
      <c r="L32" s="14"/>
      <c r="M32" s="14"/>
      <c r="N32" s="13"/>
      <c r="O32" s="13"/>
      <c r="P32" s="13"/>
      <c r="Q32" s="11">
        <f t="shared" si="0"/>
        <v>0</v>
      </c>
      <c r="R32" s="10"/>
      <c r="S32" s="9"/>
    </row>
    <row r="33" spans="1:19" ht="20.25" customHeight="1" x14ac:dyDescent="0.3">
      <c r="A33" s="17">
        <v>29</v>
      </c>
      <c r="B33" s="143" t="s">
        <v>167</v>
      </c>
      <c r="C33" s="144"/>
      <c r="D33" s="145"/>
      <c r="E33" s="16"/>
      <c r="F33" s="16"/>
      <c r="G33" s="16"/>
      <c r="H33" s="15"/>
      <c r="I33" s="15"/>
      <c r="J33" s="15"/>
      <c r="K33" s="14"/>
      <c r="L33" s="14"/>
      <c r="M33" s="14"/>
      <c r="N33" s="13"/>
      <c r="O33" s="13"/>
      <c r="P33" s="13"/>
      <c r="Q33" s="11">
        <f t="shared" si="0"/>
        <v>0</v>
      </c>
      <c r="R33" s="10"/>
      <c r="S33" s="9"/>
    </row>
    <row r="34" spans="1:19" ht="20.25" customHeight="1" x14ac:dyDescent="0.3">
      <c r="A34" s="17">
        <v>30</v>
      </c>
      <c r="B34" s="143" t="s">
        <v>166</v>
      </c>
      <c r="C34" s="144"/>
      <c r="D34" s="145"/>
      <c r="E34" s="16"/>
      <c r="F34" s="16"/>
      <c r="G34" s="16"/>
      <c r="H34" s="15"/>
      <c r="I34" s="15"/>
      <c r="J34" s="15"/>
      <c r="K34" s="14"/>
      <c r="L34" s="14"/>
      <c r="M34" s="14"/>
      <c r="N34" s="13"/>
      <c r="O34" s="13"/>
      <c r="P34" s="13"/>
      <c r="Q34" s="11">
        <f t="shared" si="0"/>
        <v>0</v>
      </c>
      <c r="R34" s="10"/>
      <c r="S34" s="9"/>
    </row>
    <row r="35" spans="1:19" ht="20.25" customHeight="1" x14ac:dyDescent="0.3">
      <c r="A35" s="17">
        <v>31</v>
      </c>
      <c r="B35" s="143" t="s">
        <v>165</v>
      </c>
      <c r="C35" s="144"/>
      <c r="D35" s="145"/>
      <c r="E35" s="16"/>
      <c r="F35" s="16"/>
      <c r="G35" s="16"/>
      <c r="H35" s="15"/>
      <c r="I35" s="15"/>
      <c r="J35" s="15"/>
      <c r="K35" s="14"/>
      <c r="L35" s="14"/>
      <c r="M35" s="14"/>
      <c r="N35" s="13"/>
      <c r="O35" s="13"/>
      <c r="P35" s="13"/>
      <c r="Q35" s="11">
        <f t="shared" si="0"/>
        <v>0</v>
      </c>
      <c r="R35" s="10"/>
      <c r="S35" s="9"/>
    </row>
    <row r="36" spans="1:19" ht="20.25" customHeight="1" x14ac:dyDescent="0.3">
      <c r="A36" s="17">
        <v>32</v>
      </c>
      <c r="B36" s="20"/>
      <c r="C36" s="19" t="s">
        <v>164</v>
      </c>
      <c r="D36" s="18"/>
      <c r="E36" s="16"/>
      <c r="F36" s="16"/>
      <c r="G36" s="16"/>
      <c r="H36" s="15"/>
      <c r="I36" s="15"/>
      <c r="J36" s="15"/>
      <c r="K36" s="14"/>
      <c r="L36" s="14"/>
      <c r="M36" s="14"/>
      <c r="N36" s="13"/>
      <c r="O36" s="13"/>
      <c r="P36" s="13"/>
      <c r="Q36" s="11">
        <f t="shared" si="0"/>
        <v>0</v>
      </c>
      <c r="R36" s="10"/>
      <c r="S36" s="9"/>
    </row>
    <row r="37" spans="1:19" ht="20.25" customHeight="1" x14ac:dyDescent="0.3">
      <c r="A37" s="17">
        <v>33</v>
      </c>
      <c r="B37" s="143" t="s">
        <v>163</v>
      </c>
      <c r="C37" s="144"/>
      <c r="D37" s="145"/>
      <c r="E37" s="16"/>
      <c r="F37" s="16"/>
      <c r="G37" s="16"/>
      <c r="H37" s="15"/>
      <c r="I37" s="15"/>
      <c r="J37" s="15"/>
      <c r="K37" s="14"/>
      <c r="L37" s="14"/>
      <c r="M37" s="14"/>
      <c r="N37" s="13"/>
      <c r="O37" s="13"/>
      <c r="P37" s="13"/>
      <c r="Q37" s="11">
        <f t="shared" si="0"/>
        <v>0</v>
      </c>
      <c r="R37" s="10"/>
      <c r="S37" s="9"/>
    </row>
    <row r="38" spans="1:19" ht="20.25" customHeight="1" x14ac:dyDescent="0.3">
      <c r="A38" s="17">
        <v>34</v>
      </c>
      <c r="B38" s="143" t="s">
        <v>211</v>
      </c>
      <c r="C38" s="144"/>
      <c r="D38" s="145"/>
      <c r="E38" s="16"/>
      <c r="F38" s="16"/>
      <c r="G38" s="16"/>
      <c r="H38" s="15"/>
      <c r="I38" s="15"/>
      <c r="J38" s="15"/>
      <c r="K38" s="14"/>
      <c r="L38" s="14"/>
      <c r="M38" s="14"/>
      <c r="N38" s="13"/>
      <c r="O38" s="13"/>
      <c r="P38" s="13"/>
      <c r="Q38" s="11">
        <f t="shared" si="0"/>
        <v>0</v>
      </c>
      <c r="R38" s="10"/>
      <c r="S38" s="9"/>
    </row>
    <row r="39" spans="1:19" ht="20.25" customHeight="1" x14ac:dyDescent="0.3">
      <c r="A39" s="17">
        <v>35</v>
      </c>
      <c r="B39" s="143" t="s">
        <v>162</v>
      </c>
      <c r="C39" s="144"/>
      <c r="D39" s="145"/>
      <c r="E39" s="16"/>
      <c r="F39" s="16"/>
      <c r="G39" s="16"/>
      <c r="H39" s="15"/>
      <c r="I39" s="15"/>
      <c r="J39" s="15"/>
      <c r="K39" s="14"/>
      <c r="L39" s="14"/>
      <c r="M39" s="14"/>
      <c r="N39" s="13"/>
      <c r="O39" s="13"/>
      <c r="P39" s="13"/>
      <c r="Q39" s="11">
        <f t="shared" si="0"/>
        <v>0</v>
      </c>
      <c r="R39" s="10"/>
      <c r="S39" s="9"/>
    </row>
    <row r="40" spans="1:19" ht="20.25" customHeight="1" x14ac:dyDescent="0.3">
      <c r="A40" s="140" t="s">
        <v>161</v>
      </c>
      <c r="B40" s="140"/>
      <c r="C40" s="140"/>
      <c r="D40" s="140"/>
      <c r="E40" s="12">
        <f t="shared" ref="E40:P40" si="1">SUM(E5:E39)</f>
        <v>4265050</v>
      </c>
      <c r="F40" s="12">
        <f t="shared" si="1"/>
        <v>3961210</v>
      </c>
      <c r="G40" s="12">
        <f t="shared" si="1"/>
        <v>153600</v>
      </c>
      <c r="H40" s="12">
        <f t="shared" si="1"/>
        <v>0</v>
      </c>
      <c r="I40" s="12">
        <f t="shared" si="1"/>
        <v>89900</v>
      </c>
      <c r="J40" s="12">
        <f t="shared" si="1"/>
        <v>85000</v>
      </c>
      <c r="K40" s="12">
        <f t="shared" si="1"/>
        <v>0</v>
      </c>
      <c r="L40" s="12">
        <f t="shared" si="1"/>
        <v>0</v>
      </c>
      <c r="M40" s="12">
        <f t="shared" si="1"/>
        <v>0</v>
      </c>
      <c r="N40" s="12">
        <f t="shared" si="1"/>
        <v>0</v>
      </c>
      <c r="O40" s="12">
        <f t="shared" si="1"/>
        <v>0</v>
      </c>
      <c r="P40" s="12">
        <f t="shared" si="1"/>
        <v>0</v>
      </c>
      <c r="Q40" s="11">
        <f t="shared" si="0"/>
        <v>8554760</v>
      </c>
      <c r="R40" s="10"/>
      <c r="S40" s="9"/>
    </row>
    <row r="41" spans="1:19" ht="20.25" customHeight="1" x14ac:dyDescent="0.3">
      <c r="A41" s="5"/>
      <c r="B41" s="139"/>
      <c r="C41" s="139"/>
      <c r="D41" s="139"/>
      <c r="E41" s="8"/>
      <c r="F41" s="8"/>
      <c r="G41" s="8"/>
      <c r="H41" s="8"/>
      <c r="I41" s="8"/>
      <c r="J41" s="5"/>
      <c r="K41" s="5"/>
      <c r="L41" s="5"/>
      <c r="M41" s="5"/>
      <c r="N41" s="5"/>
      <c r="O41" s="5"/>
      <c r="P41" s="5"/>
      <c r="Q41" s="5"/>
    </row>
    <row r="42" spans="1:19" ht="20.25" customHeight="1" x14ac:dyDescent="0.3">
      <c r="A42" s="5"/>
      <c r="B42" s="139"/>
      <c r="C42" s="139"/>
      <c r="D42" s="139"/>
      <c r="E42" s="8"/>
      <c r="F42" s="8"/>
      <c r="G42" s="8"/>
      <c r="H42" s="8"/>
      <c r="I42" s="8"/>
      <c r="J42" s="5"/>
      <c r="K42" s="5"/>
      <c r="L42" s="5"/>
      <c r="M42" s="5"/>
      <c r="N42" s="5"/>
      <c r="O42" s="5"/>
      <c r="P42" s="5"/>
      <c r="Q42" s="5"/>
    </row>
    <row r="43" spans="1:19" ht="20.25" customHeight="1" x14ac:dyDescent="0.3">
      <c r="A43" s="5"/>
      <c r="B43" s="139"/>
      <c r="C43" s="139"/>
      <c r="D43" s="139"/>
      <c r="E43" s="8"/>
      <c r="F43" s="8"/>
      <c r="G43" s="8"/>
      <c r="H43" s="8"/>
      <c r="I43" s="8"/>
      <c r="J43" s="5"/>
      <c r="K43" s="5"/>
      <c r="L43" s="5"/>
      <c r="M43" s="5"/>
      <c r="N43" s="5"/>
      <c r="O43" s="5"/>
      <c r="P43" s="5"/>
      <c r="Q43" s="5"/>
    </row>
    <row r="44" spans="1:19" ht="20.25" customHeight="1" x14ac:dyDescent="0.3">
      <c r="A44" s="5"/>
      <c r="B44" s="3"/>
      <c r="C44" s="3"/>
      <c r="D44" s="3"/>
      <c r="E44" s="8"/>
      <c r="F44" s="8"/>
      <c r="G44" s="8"/>
      <c r="H44" s="8"/>
      <c r="I44" s="8"/>
      <c r="J44" s="5"/>
    </row>
    <row r="45" spans="1:19" ht="20.25" customHeight="1" x14ac:dyDescent="0.3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</row>
    <row r="46" spans="1:19" ht="20.25" customHeight="1" x14ac:dyDescent="0.3">
      <c r="A46" s="7"/>
      <c r="B46" s="147"/>
      <c r="C46" s="147"/>
      <c r="D46" s="147"/>
      <c r="E46" s="147"/>
      <c r="F46" s="147"/>
      <c r="G46" s="147"/>
      <c r="H46" s="147"/>
      <c r="I46" s="147"/>
      <c r="J46" s="7"/>
      <c r="K46" s="7"/>
    </row>
    <row r="47" spans="1:19" ht="20.25" customHeight="1" x14ac:dyDescent="0.3">
      <c r="A47" s="3"/>
      <c r="B47" s="5"/>
      <c r="C47" s="5"/>
      <c r="D47" s="5"/>
      <c r="E47" s="5"/>
      <c r="F47" s="5"/>
      <c r="G47" s="5"/>
      <c r="H47" s="5"/>
      <c r="I47" s="4"/>
      <c r="J47" s="4"/>
      <c r="K47" s="3"/>
    </row>
    <row r="48" spans="1:19" ht="20.25" customHeight="1" x14ac:dyDescent="0.3">
      <c r="A48" s="3"/>
      <c r="B48" s="5"/>
      <c r="C48" s="5"/>
      <c r="D48" s="5"/>
      <c r="E48" s="5"/>
      <c r="F48" s="5"/>
      <c r="G48" s="5"/>
      <c r="H48" s="5"/>
      <c r="I48" s="4"/>
      <c r="J48" s="4"/>
      <c r="K48" s="3"/>
    </row>
    <row r="49" spans="1:11" ht="20.25" customHeight="1" x14ac:dyDescent="0.3">
      <c r="A49" s="3"/>
      <c r="B49" s="5"/>
      <c r="C49" s="5"/>
      <c r="D49" s="5"/>
      <c r="E49" s="5"/>
      <c r="F49" s="5"/>
      <c r="G49" s="5"/>
      <c r="H49" s="5"/>
      <c r="I49" s="4"/>
      <c r="J49" s="4"/>
      <c r="K49" s="3"/>
    </row>
    <row r="50" spans="1:11" ht="20.25" customHeight="1" x14ac:dyDescent="0.3">
      <c r="A50" s="3"/>
      <c r="B50" s="5"/>
      <c r="C50" s="5"/>
      <c r="D50" s="5"/>
      <c r="E50" s="5"/>
      <c r="F50" s="5"/>
      <c r="G50" s="5"/>
      <c r="H50" s="5"/>
      <c r="I50" s="4"/>
      <c r="J50" s="4"/>
      <c r="K50" s="3"/>
    </row>
    <row r="51" spans="1:11" ht="20.25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4"/>
      <c r="K51" s="3"/>
    </row>
    <row r="52" spans="1:11" ht="20.25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4"/>
      <c r="K52" s="3"/>
    </row>
    <row r="53" spans="1:11" ht="20.25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4"/>
      <c r="K53" s="3"/>
    </row>
    <row r="54" spans="1:11" ht="20.25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4"/>
      <c r="K54" s="3"/>
    </row>
    <row r="55" spans="1:11" ht="20.25" customHeight="1" x14ac:dyDescent="0.3">
      <c r="A55" s="3"/>
      <c r="B55" s="5"/>
      <c r="C55" s="5"/>
      <c r="D55" s="5"/>
      <c r="E55" s="5"/>
      <c r="F55" s="5"/>
      <c r="G55" s="5"/>
      <c r="H55" s="5"/>
      <c r="I55" s="4"/>
      <c r="J55" s="4"/>
      <c r="K55" s="3"/>
    </row>
    <row r="56" spans="1:11" ht="20.25" customHeight="1" x14ac:dyDescent="0.3">
      <c r="A56" s="3"/>
      <c r="B56" s="5"/>
      <c r="C56" s="5"/>
      <c r="D56" s="5"/>
      <c r="E56" s="5"/>
      <c r="F56" s="5"/>
      <c r="G56" s="5"/>
      <c r="H56" s="5"/>
      <c r="I56" s="4"/>
      <c r="J56" s="4"/>
      <c r="K56" s="3"/>
    </row>
    <row r="57" spans="1:11" ht="20.25" customHeight="1" x14ac:dyDescent="0.3">
      <c r="A57" s="3"/>
      <c r="B57" s="5"/>
      <c r="C57" s="5"/>
      <c r="D57" s="5"/>
      <c r="E57" s="5"/>
      <c r="F57" s="5"/>
      <c r="G57" s="5"/>
      <c r="H57" s="5"/>
      <c r="I57" s="4"/>
      <c r="J57" s="4"/>
      <c r="K57" s="3"/>
    </row>
    <row r="58" spans="1:11" ht="20.25" customHeight="1" x14ac:dyDescent="0.3">
      <c r="A58" s="3"/>
      <c r="B58" s="5"/>
      <c r="C58" s="5"/>
      <c r="D58" s="5"/>
      <c r="E58" s="5"/>
      <c r="F58" s="5"/>
      <c r="G58" s="5"/>
      <c r="H58" s="5"/>
      <c r="I58" s="4"/>
      <c r="J58" s="4"/>
      <c r="K58" s="3"/>
    </row>
    <row r="59" spans="1:11" ht="20.25" customHeight="1" x14ac:dyDescent="0.3">
      <c r="A59" s="3"/>
      <c r="B59" s="5"/>
      <c r="C59" s="5"/>
      <c r="D59" s="5"/>
      <c r="E59" s="5"/>
      <c r="F59" s="5"/>
      <c r="G59" s="5"/>
      <c r="H59" s="5"/>
      <c r="I59" s="4"/>
      <c r="J59" s="4"/>
      <c r="K59" s="3"/>
    </row>
    <row r="60" spans="1:11" ht="20.25" customHeight="1" x14ac:dyDescent="0.3">
      <c r="A60" s="3"/>
      <c r="B60" s="5"/>
      <c r="C60" s="5"/>
      <c r="D60" s="5"/>
      <c r="E60" s="5"/>
      <c r="F60" s="5"/>
      <c r="G60" s="5"/>
      <c r="H60" s="5"/>
      <c r="I60" s="4"/>
      <c r="J60" s="4"/>
      <c r="K60" s="3"/>
    </row>
    <row r="61" spans="1:11" ht="20.25" customHeight="1" x14ac:dyDescent="0.3">
      <c r="A61" s="3"/>
      <c r="B61" s="5"/>
      <c r="C61" s="5"/>
      <c r="D61" s="5"/>
      <c r="E61" s="5"/>
      <c r="F61" s="5"/>
      <c r="G61" s="5"/>
      <c r="H61" s="5"/>
      <c r="I61" s="4"/>
      <c r="J61" s="4"/>
      <c r="K61" s="3"/>
    </row>
    <row r="62" spans="1:11" ht="20.25" customHeight="1" x14ac:dyDescent="0.3">
      <c r="A62" s="3"/>
      <c r="B62" s="5"/>
      <c r="C62" s="5"/>
      <c r="D62" s="5"/>
      <c r="E62" s="5"/>
      <c r="F62" s="5"/>
      <c r="G62" s="5"/>
      <c r="H62" s="5"/>
      <c r="I62" s="4"/>
      <c r="J62" s="4"/>
      <c r="K62" s="3"/>
    </row>
    <row r="63" spans="1:11" ht="20.25" customHeight="1" x14ac:dyDescent="0.3">
      <c r="A63" s="3"/>
      <c r="B63" s="5"/>
      <c r="C63" s="5"/>
      <c r="D63" s="5"/>
      <c r="E63" s="5"/>
      <c r="F63" s="5"/>
      <c r="G63" s="5"/>
      <c r="H63" s="5"/>
      <c r="I63" s="4"/>
      <c r="J63" s="4"/>
      <c r="K63" s="3"/>
    </row>
    <row r="64" spans="1:11" ht="20.25" customHeight="1" x14ac:dyDescent="0.3">
      <c r="A64" s="3"/>
      <c r="B64" s="5"/>
      <c r="C64" s="5"/>
      <c r="D64" s="5"/>
      <c r="E64" s="5"/>
      <c r="F64" s="5"/>
      <c r="G64" s="5"/>
      <c r="H64" s="5"/>
      <c r="I64" s="4"/>
      <c r="J64" s="4"/>
      <c r="K64" s="3"/>
    </row>
    <row r="65" spans="1:11" ht="20.25" customHeight="1" x14ac:dyDescent="0.3">
      <c r="A65" s="3"/>
      <c r="B65" s="5"/>
      <c r="C65" s="5"/>
      <c r="D65" s="5"/>
      <c r="E65" s="5"/>
      <c r="F65" s="5"/>
      <c r="G65" s="5"/>
      <c r="H65" s="5"/>
      <c r="I65" s="4"/>
      <c r="J65" s="4"/>
      <c r="K65" s="3"/>
    </row>
    <row r="66" spans="1:11" ht="20.25" customHeight="1" x14ac:dyDescent="0.3">
      <c r="A66" s="3"/>
      <c r="B66" s="5"/>
      <c r="C66" s="5"/>
      <c r="D66" s="5"/>
      <c r="E66" s="5"/>
      <c r="F66" s="5"/>
      <c r="G66" s="5"/>
      <c r="H66" s="5"/>
      <c r="I66" s="4"/>
      <c r="J66" s="4"/>
      <c r="K66" s="3"/>
    </row>
    <row r="67" spans="1:11" ht="20.25" customHeight="1" x14ac:dyDescent="0.3">
      <c r="A67" s="3"/>
      <c r="B67" s="5"/>
      <c r="C67" s="5"/>
      <c r="D67" s="5"/>
      <c r="E67" s="5"/>
      <c r="F67" s="5"/>
      <c r="G67" s="5"/>
      <c r="H67" s="5"/>
      <c r="I67" s="4"/>
      <c r="J67" s="4"/>
      <c r="K67" s="3"/>
    </row>
    <row r="68" spans="1:11" ht="20.25" customHeight="1" x14ac:dyDescent="0.3">
      <c r="A68" s="3"/>
      <c r="B68" s="5"/>
      <c r="C68" s="5"/>
      <c r="D68" s="5"/>
      <c r="E68" s="5"/>
      <c r="F68" s="5"/>
      <c r="G68" s="5"/>
      <c r="H68" s="5"/>
      <c r="I68" s="4"/>
      <c r="J68" s="4"/>
      <c r="K68" s="3"/>
    </row>
    <row r="69" spans="1:11" ht="20.25" customHeight="1" x14ac:dyDescent="0.3">
      <c r="A69" s="3"/>
      <c r="B69" s="5"/>
      <c r="C69" s="5"/>
      <c r="D69" s="5"/>
      <c r="E69" s="5"/>
      <c r="F69" s="5"/>
      <c r="G69" s="5"/>
      <c r="H69" s="5"/>
      <c r="I69" s="4"/>
      <c r="J69" s="4"/>
      <c r="K69" s="3"/>
    </row>
    <row r="70" spans="1:11" ht="20.25" customHeight="1" x14ac:dyDescent="0.3">
      <c r="A70" s="3"/>
      <c r="B70" s="5"/>
      <c r="C70" s="5"/>
      <c r="D70" s="5"/>
      <c r="E70" s="5"/>
      <c r="F70" s="5"/>
      <c r="G70" s="5"/>
      <c r="H70" s="5"/>
      <c r="I70" s="4"/>
      <c r="J70" s="4"/>
      <c r="K70" s="3"/>
    </row>
    <row r="71" spans="1:11" ht="20.25" customHeight="1" x14ac:dyDescent="0.3">
      <c r="A71" s="3"/>
      <c r="B71" s="5"/>
      <c r="C71" s="5"/>
      <c r="D71" s="5"/>
      <c r="E71" s="5"/>
      <c r="F71" s="5"/>
      <c r="G71" s="5"/>
      <c r="H71" s="5"/>
      <c r="I71" s="4"/>
      <c r="J71" s="4"/>
      <c r="K71" s="3"/>
    </row>
    <row r="72" spans="1:11" ht="20.25" customHeight="1" x14ac:dyDescent="0.3">
      <c r="A72" s="3"/>
      <c r="B72" s="5"/>
      <c r="C72" s="5"/>
      <c r="D72" s="5"/>
      <c r="E72" s="5"/>
      <c r="F72" s="5"/>
      <c r="G72" s="5"/>
      <c r="H72" s="5"/>
      <c r="I72" s="4"/>
      <c r="J72" s="4"/>
      <c r="K72" s="3"/>
    </row>
    <row r="73" spans="1:11" ht="20.25" customHeight="1" x14ac:dyDescent="0.3">
      <c r="A73" s="3"/>
      <c r="B73" s="5"/>
      <c r="C73" s="5"/>
      <c r="D73" s="5"/>
      <c r="E73" s="5"/>
      <c r="F73" s="5"/>
      <c r="G73" s="5"/>
      <c r="H73" s="5"/>
      <c r="I73" s="4"/>
      <c r="J73" s="4"/>
      <c r="K73" s="3"/>
    </row>
    <row r="74" spans="1:11" ht="20.25" customHeight="1" x14ac:dyDescent="0.3">
      <c r="A74" s="3"/>
      <c r="B74" s="5"/>
      <c r="C74" s="5"/>
      <c r="D74" s="5"/>
      <c r="E74" s="5"/>
      <c r="F74" s="5"/>
      <c r="G74" s="5"/>
      <c r="H74" s="5"/>
      <c r="I74" s="4"/>
      <c r="J74" s="4"/>
      <c r="K74" s="3"/>
    </row>
    <row r="75" spans="1:11" ht="20.25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4"/>
      <c r="K75" s="3"/>
    </row>
    <row r="76" spans="1:11" ht="20.25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4"/>
      <c r="K76" s="3"/>
    </row>
    <row r="77" spans="1:11" ht="20.25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4"/>
      <c r="K77" s="3"/>
    </row>
    <row r="78" spans="1:11" ht="20.25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4"/>
      <c r="K78" s="3"/>
    </row>
    <row r="79" spans="1:11" ht="20.25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4"/>
      <c r="K79" s="3"/>
    </row>
    <row r="80" spans="1:11" ht="20.25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4"/>
      <c r="K80" s="3"/>
    </row>
    <row r="81" spans="1:11" ht="20.25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4"/>
      <c r="K81" s="3"/>
    </row>
    <row r="82" spans="1:11" ht="20.25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4"/>
      <c r="K82" s="3"/>
    </row>
    <row r="83" spans="1:11" ht="20.25" customHeight="1" x14ac:dyDescent="0.3">
      <c r="A83" s="3"/>
      <c r="B83" s="5"/>
      <c r="C83" s="5"/>
      <c r="D83" s="5"/>
      <c r="E83" s="5"/>
      <c r="F83" s="5"/>
      <c r="G83" s="5"/>
      <c r="H83" s="5"/>
      <c r="I83" s="4"/>
      <c r="J83" s="4"/>
      <c r="K83" s="3"/>
    </row>
    <row r="84" spans="1:11" ht="20.25" customHeight="1" x14ac:dyDescent="0.3">
      <c r="A84" s="3"/>
      <c r="B84" s="5"/>
      <c r="C84" s="5"/>
      <c r="D84" s="5"/>
      <c r="E84" s="5"/>
      <c r="F84" s="5"/>
      <c r="G84" s="5"/>
      <c r="H84" s="5"/>
      <c r="I84" s="4"/>
      <c r="J84" s="4"/>
      <c r="K84" s="3"/>
    </row>
    <row r="85" spans="1:11" ht="20.25" customHeight="1" x14ac:dyDescent="0.3">
      <c r="A85" s="3"/>
      <c r="B85" s="5"/>
      <c r="C85" s="5"/>
      <c r="D85" s="5"/>
      <c r="E85" s="5"/>
      <c r="F85" s="5"/>
      <c r="G85" s="5"/>
      <c r="H85" s="5"/>
      <c r="I85" s="4"/>
      <c r="J85" s="6"/>
      <c r="K85" s="3"/>
    </row>
    <row r="86" spans="1:11" ht="20.25" customHeight="1" x14ac:dyDescent="0.3">
      <c r="A86" s="3"/>
      <c r="B86" s="5"/>
      <c r="C86" s="5"/>
      <c r="D86" s="5"/>
      <c r="E86" s="5"/>
      <c r="F86" s="5"/>
      <c r="G86" s="5"/>
      <c r="H86" s="5"/>
      <c r="I86" s="4"/>
      <c r="J86" s="4"/>
      <c r="K86" s="3"/>
    </row>
    <row r="93" spans="1:11" ht="20.25" customHeight="1" x14ac:dyDescent="0.3">
      <c r="J93" s="2"/>
    </row>
  </sheetData>
  <mergeCells count="51">
    <mergeCell ref="B39:D39"/>
    <mergeCell ref="B33:D33"/>
    <mergeCell ref="B34:D34"/>
    <mergeCell ref="A3:A4"/>
    <mergeCell ref="B3:D4"/>
    <mergeCell ref="B21:D21"/>
    <mergeCell ref="B28:D28"/>
    <mergeCell ref="B30:D30"/>
    <mergeCell ref="B18:D18"/>
    <mergeCell ref="B11:D11"/>
    <mergeCell ref="B12:D12"/>
    <mergeCell ref="B13:D13"/>
    <mergeCell ref="B14:D14"/>
    <mergeCell ref="B15:D15"/>
    <mergeCell ref="E3:G3"/>
    <mergeCell ref="B31:D31"/>
    <mergeCell ref="B37:D37"/>
    <mergeCell ref="B46:E46"/>
    <mergeCell ref="F46:I46"/>
    <mergeCell ref="A45:K45"/>
    <mergeCell ref="B20:D20"/>
    <mergeCell ref="B38:D38"/>
    <mergeCell ref="B43:D43"/>
    <mergeCell ref="B24:D24"/>
    <mergeCell ref="B25:D25"/>
    <mergeCell ref="B26:D26"/>
    <mergeCell ref="B27:D27"/>
    <mergeCell ref="B29:D29"/>
    <mergeCell ref="B35:D35"/>
    <mergeCell ref="B22:D22"/>
    <mergeCell ref="B41:D41"/>
    <mergeCell ref="B42:D42"/>
    <mergeCell ref="B23:D23"/>
    <mergeCell ref="A2:S2"/>
    <mergeCell ref="B5:D5"/>
    <mergeCell ref="B7:D7"/>
    <mergeCell ref="B8:D8"/>
    <mergeCell ref="B10:D10"/>
    <mergeCell ref="B9:D9"/>
    <mergeCell ref="S3:S4"/>
    <mergeCell ref="B16:D16"/>
    <mergeCell ref="B17:D17"/>
    <mergeCell ref="B32:D32"/>
    <mergeCell ref="B19:D19"/>
    <mergeCell ref="A40:D40"/>
    <mergeCell ref="B6:D6"/>
    <mergeCell ref="K3:M3"/>
    <mergeCell ref="N3:P3"/>
    <mergeCell ref="Q3:Q4"/>
    <mergeCell ref="R3:R4"/>
    <mergeCell ref="H3:J3"/>
  </mergeCells>
  <pageMargins left="0.23622047244094491" right="0.23622047244094491" top="0.19685039370078741" bottom="0.19685039370078741" header="0.31496062992125984" footer="0.31496062992125984"/>
  <pageSetup paperSize="9" scale="6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topLeftCell="A13" workbookViewId="0">
      <selection activeCell="O20" sqref="O20"/>
    </sheetView>
  </sheetViews>
  <sheetFormatPr defaultRowHeight="18.75" x14ac:dyDescent="0.3"/>
  <cols>
    <col min="1" max="1" width="3.625" style="1" customWidth="1"/>
    <col min="2" max="2" width="14" style="38" customWidth="1"/>
    <col min="3" max="3" width="42.375" style="1" customWidth="1"/>
    <col min="4" max="4" width="8.25" style="38" customWidth="1"/>
    <col min="5" max="5" width="10.625" style="1" customWidth="1"/>
    <col min="6" max="18" width="9" style="1"/>
    <col min="19" max="19" width="10.625" style="1" customWidth="1"/>
    <col min="20" max="16384" width="9" style="1"/>
  </cols>
  <sheetData>
    <row r="1" spans="1:19" x14ac:dyDescent="0.3">
      <c r="E1" s="39" t="s">
        <v>93</v>
      </c>
      <c r="F1" s="40"/>
      <c r="G1" s="39">
        <f>Note!$B$2</f>
        <v>2565</v>
      </c>
      <c r="H1" s="1" t="str">
        <f>Note!$B$1</f>
        <v>วิทยาลัยการอาชีพนวมินทราชินีแม่ฮ่องสอน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x14ac:dyDescent="0.3">
      <c r="E2" s="148" t="s">
        <v>13</v>
      </c>
      <c r="F2" s="148"/>
      <c r="G2" s="148"/>
      <c r="H2" s="149" t="s">
        <v>14</v>
      </c>
      <c r="I2" s="149"/>
      <c r="J2" s="149"/>
      <c r="K2" s="149"/>
      <c r="L2" s="149"/>
      <c r="M2" s="149"/>
      <c r="N2" s="149"/>
      <c r="O2" s="150" t="s">
        <v>16</v>
      </c>
      <c r="P2" s="151"/>
      <c r="Q2" s="149" t="s">
        <v>15</v>
      </c>
      <c r="R2" s="149"/>
      <c r="S2" s="132" t="s">
        <v>10</v>
      </c>
    </row>
    <row r="3" spans="1:19" x14ac:dyDescent="0.3">
      <c r="E3" s="23" t="s">
        <v>0</v>
      </c>
      <c r="F3" s="23" t="s">
        <v>1</v>
      </c>
      <c r="G3" s="23" t="s">
        <v>2</v>
      </c>
      <c r="H3" s="23" t="s">
        <v>209</v>
      </c>
      <c r="I3" s="23" t="s">
        <v>3</v>
      </c>
      <c r="J3" s="23" t="s">
        <v>4</v>
      </c>
      <c r="K3" s="23" t="s">
        <v>6</v>
      </c>
      <c r="L3" s="23" t="s">
        <v>5</v>
      </c>
      <c r="M3" s="125" t="s">
        <v>7</v>
      </c>
      <c r="N3" s="23" t="s">
        <v>376</v>
      </c>
      <c r="O3" s="23" t="s">
        <v>12</v>
      </c>
      <c r="P3" s="23" t="s">
        <v>230</v>
      </c>
      <c r="Q3" s="23" t="s">
        <v>8</v>
      </c>
      <c r="R3" s="23" t="s">
        <v>9</v>
      </c>
      <c r="S3" s="132"/>
    </row>
    <row r="4" spans="1:19" x14ac:dyDescent="0.3">
      <c r="D4" s="41" t="s">
        <v>92</v>
      </c>
      <c r="E4" s="10">
        <f>SUM(E7:E107)</f>
        <v>12525890</v>
      </c>
      <c r="F4" s="10">
        <f>SUM(F7:F107)</f>
        <v>312200</v>
      </c>
      <c r="G4" s="10">
        <f>SUM(G7:G107)</f>
        <v>272000</v>
      </c>
      <c r="H4" s="10">
        <f>SUM(H7:H107)</f>
        <v>1907050</v>
      </c>
      <c r="I4" s="10">
        <f t="shared" ref="I4:R4" si="0">SUM(I7:I107)</f>
        <v>604000</v>
      </c>
      <c r="J4" s="10">
        <f t="shared" si="0"/>
        <v>0</v>
      </c>
      <c r="K4" s="10">
        <f t="shared" si="0"/>
        <v>286900</v>
      </c>
      <c r="L4" s="10">
        <f t="shared" si="0"/>
        <v>138920</v>
      </c>
      <c r="M4" s="10" t="s">
        <v>377</v>
      </c>
      <c r="N4" s="10">
        <f t="shared" si="0"/>
        <v>85000</v>
      </c>
      <c r="O4" s="10">
        <f t="shared" si="0"/>
        <v>599500</v>
      </c>
      <c r="P4" s="10">
        <f t="shared" si="0"/>
        <v>2554.4</v>
      </c>
      <c r="Q4" s="10">
        <f t="shared" si="0"/>
        <v>728817.83</v>
      </c>
      <c r="R4" s="10">
        <f t="shared" si="0"/>
        <v>0</v>
      </c>
      <c r="S4" s="10">
        <f>SUM(E4:R4)</f>
        <v>17462832.23</v>
      </c>
    </row>
    <row r="6" spans="1:19" x14ac:dyDescent="0.3">
      <c r="A6" s="17" t="s">
        <v>88</v>
      </c>
      <c r="B6" s="42" t="s">
        <v>89</v>
      </c>
      <c r="C6" s="17" t="s">
        <v>90</v>
      </c>
      <c r="D6" s="42" t="s">
        <v>91</v>
      </c>
      <c r="E6" s="23" t="s">
        <v>0</v>
      </c>
      <c r="F6" s="23" t="s">
        <v>1</v>
      </c>
      <c r="G6" s="23" t="s">
        <v>2</v>
      </c>
      <c r="H6" s="23" t="s">
        <v>11</v>
      </c>
      <c r="I6" s="23" t="s">
        <v>3</v>
      </c>
      <c r="J6" s="23" t="s">
        <v>4</v>
      </c>
      <c r="K6" s="23" t="s">
        <v>6</v>
      </c>
      <c r="L6" s="23" t="s">
        <v>5</v>
      </c>
      <c r="M6" s="125"/>
      <c r="N6" s="23" t="s">
        <v>7</v>
      </c>
      <c r="O6" s="23" t="s">
        <v>12</v>
      </c>
      <c r="P6" s="23" t="str">
        <f>+P3</f>
        <v>เงินนอก</v>
      </c>
      <c r="Q6" s="23" t="s">
        <v>8</v>
      </c>
      <c r="R6" s="23" t="s">
        <v>9</v>
      </c>
      <c r="S6" s="43" t="s">
        <v>10</v>
      </c>
    </row>
    <row r="7" spans="1:19" x14ac:dyDescent="0.3">
      <c r="A7" s="86">
        <v>1</v>
      </c>
      <c r="B7" s="42"/>
      <c r="C7" s="115" t="s">
        <v>15</v>
      </c>
      <c r="D7" s="42"/>
      <c r="E7" s="95"/>
      <c r="F7" s="95"/>
      <c r="G7" s="95"/>
      <c r="H7" s="95"/>
      <c r="I7" s="95"/>
      <c r="J7" s="95"/>
      <c r="K7" s="95"/>
      <c r="L7" s="95"/>
      <c r="M7" s="125"/>
      <c r="N7" s="95"/>
      <c r="O7" s="95"/>
      <c r="P7" s="95"/>
      <c r="Q7" s="95">
        <f>79431.83+192977.83+456408.17</f>
        <v>728817.83</v>
      </c>
      <c r="R7" s="95"/>
      <c r="S7" s="94"/>
    </row>
    <row r="8" spans="1:19" x14ac:dyDescent="0.3">
      <c r="A8" s="86">
        <v>2</v>
      </c>
      <c r="B8" s="82" t="s">
        <v>213</v>
      </c>
      <c r="C8" s="44" t="s">
        <v>214</v>
      </c>
      <c r="D8" s="84">
        <v>2565001</v>
      </c>
      <c r="E8" s="10">
        <v>1500000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f t="shared" ref="S8:S39" si="1">SUM(E8:R8)</f>
        <v>1500000</v>
      </c>
    </row>
    <row r="9" spans="1:19" x14ac:dyDescent="0.3">
      <c r="A9" s="86">
        <v>3</v>
      </c>
      <c r="B9" s="45"/>
      <c r="C9" s="44" t="s">
        <v>181</v>
      </c>
      <c r="D9" s="46"/>
      <c r="E9" s="10">
        <v>2000000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f t="shared" si="1"/>
        <v>2000000</v>
      </c>
    </row>
    <row r="10" spans="1:19" x14ac:dyDescent="0.3">
      <c r="A10" s="86">
        <v>4</v>
      </c>
      <c r="B10" s="42" t="s">
        <v>215</v>
      </c>
      <c r="C10" s="44" t="s">
        <v>219</v>
      </c>
      <c r="D10" s="88" t="s">
        <v>217</v>
      </c>
      <c r="E10" s="10">
        <v>5660700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f t="shared" si="1"/>
        <v>5660700</v>
      </c>
    </row>
    <row r="11" spans="1:19" x14ac:dyDescent="0.3">
      <c r="A11" s="86">
        <v>5</v>
      </c>
      <c r="B11" s="42" t="s">
        <v>215</v>
      </c>
      <c r="C11" s="44" t="s">
        <v>216</v>
      </c>
      <c r="D11" s="88" t="s">
        <v>218</v>
      </c>
      <c r="E11" s="10">
        <v>765050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 t="shared" si="1"/>
        <v>765050</v>
      </c>
    </row>
    <row r="12" spans="1:19" x14ac:dyDescent="0.3">
      <c r="A12" s="86">
        <v>6</v>
      </c>
      <c r="B12" s="42" t="s">
        <v>222</v>
      </c>
      <c r="C12" s="44" t="s">
        <v>220</v>
      </c>
      <c r="D12" s="88" t="s">
        <v>221</v>
      </c>
      <c r="E12" s="10">
        <v>24040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si="1"/>
        <v>24040</v>
      </c>
    </row>
    <row r="13" spans="1:19" x14ac:dyDescent="0.3">
      <c r="A13" s="86">
        <v>7</v>
      </c>
      <c r="B13" s="42" t="s">
        <v>223</v>
      </c>
      <c r="C13" s="44" t="s">
        <v>225</v>
      </c>
      <c r="D13" s="88" t="s">
        <v>224</v>
      </c>
      <c r="E13" s="10">
        <v>176100</v>
      </c>
      <c r="F13" s="10">
        <v>312200</v>
      </c>
      <c r="G13" s="10">
        <v>272000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1"/>
        <v>760300</v>
      </c>
    </row>
    <row r="14" spans="1:19" x14ac:dyDescent="0.3">
      <c r="A14" s="86">
        <v>8</v>
      </c>
      <c r="B14" s="42"/>
      <c r="C14" s="44" t="s">
        <v>189</v>
      </c>
      <c r="D14" s="83"/>
      <c r="E14" s="10">
        <v>2400000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1"/>
        <v>2400000</v>
      </c>
    </row>
    <row r="15" spans="1:19" x14ac:dyDescent="0.3">
      <c r="A15" s="86">
        <v>9</v>
      </c>
      <c r="B15" s="42" t="s">
        <v>226</v>
      </c>
      <c r="C15" s="44"/>
      <c r="D15" s="88" t="s">
        <v>228</v>
      </c>
      <c r="E15" s="10"/>
      <c r="F15" s="10"/>
      <c r="G15" s="10"/>
      <c r="H15" s="10">
        <v>1907050</v>
      </c>
      <c r="I15" s="10">
        <v>604000</v>
      </c>
      <c r="J15" s="10"/>
      <c r="K15" s="10">
        <v>286900</v>
      </c>
      <c r="L15" s="10">
        <v>138920</v>
      </c>
      <c r="M15" s="10"/>
      <c r="N15" s="10"/>
      <c r="O15" s="10"/>
      <c r="P15" s="10"/>
      <c r="Q15" s="10"/>
      <c r="R15" s="10"/>
      <c r="S15" s="10">
        <f t="shared" si="1"/>
        <v>2936870</v>
      </c>
    </row>
    <row r="16" spans="1:19" x14ac:dyDescent="0.3">
      <c r="A16" s="86">
        <v>10</v>
      </c>
      <c r="B16" s="42" t="s">
        <v>227</v>
      </c>
      <c r="C16" s="44" t="s">
        <v>231</v>
      </c>
      <c r="D16" s="88" t="s">
        <v>229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94800</v>
      </c>
      <c r="P16" s="10"/>
      <c r="Q16" s="10"/>
      <c r="R16" s="10"/>
      <c r="S16" s="10">
        <f t="shared" si="1"/>
        <v>94800</v>
      </c>
    </row>
    <row r="17" spans="1:19" x14ac:dyDescent="0.3">
      <c r="A17" s="86">
        <v>11</v>
      </c>
      <c r="B17" s="42" t="s">
        <v>227</v>
      </c>
      <c r="C17" s="44" t="s">
        <v>232</v>
      </c>
      <c r="D17" s="88" t="s">
        <v>233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>
        <v>58800</v>
      </c>
      <c r="P17" s="10"/>
      <c r="Q17" s="10"/>
      <c r="R17" s="10"/>
      <c r="S17" s="10">
        <f t="shared" si="1"/>
        <v>58800</v>
      </c>
    </row>
    <row r="18" spans="1:19" x14ac:dyDescent="0.3">
      <c r="A18" s="86">
        <v>12</v>
      </c>
      <c r="B18" s="42"/>
      <c r="C18" s="44" t="s">
        <v>234</v>
      </c>
      <c r="D18" s="4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31">
        <v>2554.4</v>
      </c>
      <c r="Q18" s="10"/>
      <c r="R18" s="10"/>
      <c r="S18" s="10">
        <f t="shared" si="1"/>
        <v>2554.4</v>
      </c>
    </row>
    <row r="19" spans="1:19" x14ac:dyDescent="0.3">
      <c r="A19" s="86">
        <v>13</v>
      </c>
      <c r="B19" s="42" t="s">
        <v>352</v>
      </c>
      <c r="C19" s="44" t="s">
        <v>353</v>
      </c>
      <c r="D19" s="88" t="s">
        <v>359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>
        <v>291000</v>
      </c>
      <c r="P19" s="10"/>
      <c r="Q19" s="10"/>
      <c r="R19" s="10"/>
      <c r="S19" s="10">
        <f t="shared" si="1"/>
        <v>291000</v>
      </c>
    </row>
    <row r="20" spans="1:19" x14ac:dyDescent="0.3">
      <c r="A20" s="86">
        <v>14</v>
      </c>
      <c r="B20" s="42" t="s">
        <v>361</v>
      </c>
      <c r="C20" s="44" t="s">
        <v>362</v>
      </c>
      <c r="D20" s="88" t="s">
        <v>360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>
        <v>89900</v>
      </c>
      <c r="P20" s="10"/>
      <c r="Q20" s="10"/>
      <c r="R20" s="10"/>
      <c r="S20" s="10">
        <f t="shared" si="1"/>
        <v>89900</v>
      </c>
    </row>
    <row r="21" spans="1:19" x14ac:dyDescent="0.3">
      <c r="A21" s="86">
        <v>15</v>
      </c>
      <c r="B21" s="42" t="s">
        <v>367</v>
      </c>
      <c r="C21" s="44" t="s">
        <v>374</v>
      </c>
      <c r="D21" s="88" t="s">
        <v>375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85000</v>
      </c>
      <c r="O21" s="10"/>
      <c r="P21" s="10"/>
      <c r="Q21" s="10"/>
      <c r="R21" s="10"/>
      <c r="S21" s="10">
        <f t="shared" si="1"/>
        <v>85000</v>
      </c>
    </row>
    <row r="22" spans="1:19" x14ac:dyDescent="0.3">
      <c r="A22" s="86">
        <v>16</v>
      </c>
      <c r="B22" s="42" t="s">
        <v>367</v>
      </c>
      <c r="C22" s="44" t="s">
        <v>384</v>
      </c>
      <c r="D22" s="129" t="s">
        <v>385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>
        <v>65000</v>
      </c>
      <c r="P22" s="10"/>
      <c r="Q22" s="10"/>
      <c r="R22" s="10"/>
      <c r="S22" s="10">
        <f t="shared" si="1"/>
        <v>65000</v>
      </c>
    </row>
    <row r="23" spans="1:19" ht="21.75" x14ac:dyDescent="0.5">
      <c r="A23" s="86">
        <v>17</v>
      </c>
      <c r="B23" s="42"/>
      <c r="C23" s="44"/>
      <c r="D23" s="4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1"/>
        <v>0</v>
      </c>
    </row>
    <row r="24" spans="1:19" ht="21.75" x14ac:dyDescent="0.5">
      <c r="A24" s="86">
        <v>18</v>
      </c>
      <c r="B24" s="42"/>
      <c r="C24" s="44"/>
      <c r="D24" s="4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1"/>
        <v>0</v>
      </c>
    </row>
    <row r="25" spans="1:19" ht="21.75" x14ac:dyDescent="0.5">
      <c r="A25" s="86">
        <v>19</v>
      </c>
      <c r="B25" s="42"/>
      <c r="C25" s="44"/>
      <c r="D25" s="4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1"/>
        <v>0</v>
      </c>
    </row>
    <row r="26" spans="1:19" ht="21.75" x14ac:dyDescent="0.5">
      <c r="A26" s="86">
        <v>20</v>
      </c>
      <c r="B26" s="42"/>
      <c r="C26" s="44"/>
      <c r="D26" s="4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1"/>
        <v>0</v>
      </c>
    </row>
    <row r="27" spans="1:19" ht="21.75" x14ac:dyDescent="0.5">
      <c r="A27" s="86">
        <v>21</v>
      </c>
      <c r="B27" s="42"/>
      <c r="C27" s="44"/>
      <c r="D27" s="4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1"/>
        <v>0</v>
      </c>
    </row>
    <row r="28" spans="1:19" ht="21.75" x14ac:dyDescent="0.5">
      <c r="A28" s="86">
        <v>22</v>
      </c>
      <c r="B28" s="42"/>
      <c r="C28" s="44"/>
      <c r="D28" s="4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1"/>
        <v>0</v>
      </c>
    </row>
    <row r="29" spans="1:19" ht="21.75" x14ac:dyDescent="0.5">
      <c r="A29" s="86">
        <v>23</v>
      </c>
      <c r="B29" s="42"/>
      <c r="C29" s="44"/>
      <c r="D29" s="4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1"/>
        <v>0</v>
      </c>
    </row>
    <row r="30" spans="1:19" ht="21.75" x14ac:dyDescent="0.5">
      <c r="A30" s="86">
        <v>24</v>
      </c>
      <c r="B30" s="42"/>
      <c r="C30" s="44"/>
      <c r="D30" s="4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1"/>
        <v>0</v>
      </c>
    </row>
    <row r="31" spans="1:19" ht="21.75" x14ac:dyDescent="0.5">
      <c r="A31" s="86">
        <v>25</v>
      </c>
      <c r="B31" s="42"/>
      <c r="C31" s="44"/>
      <c r="D31" s="4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1"/>
        <v>0</v>
      </c>
    </row>
    <row r="32" spans="1:19" ht="21.75" x14ac:dyDescent="0.5">
      <c r="A32" s="86">
        <v>26</v>
      </c>
      <c r="B32" s="45"/>
      <c r="C32" s="44"/>
      <c r="D32" s="4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1"/>
        <v>0</v>
      </c>
    </row>
    <row r="33" spans="1:19" x14ac:dyDescent="0.3">
      <c r="A33" s="86">
        <v>27</v>
      </c>
      <c r="B33" s="45"/>
      <c r="C33" s="44"/>
      <c r="D33" s="4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1"/>
        <v>0</v>
      </c>
    </row>
    <row r="34" spans="1:19" x14ac:dyDescent="0.3">
      <c r="A34" s="86">
        <v>28</v>
      </c>
      <c r="B34" s="45"/>
      <c r="C34" s="44"/>
      <c r="D34" s="4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1"/>
        <v>0</v>
      </c>
    </row>
    <row r="35" spans="1:19" x14ac:dyDescent="0.3">
      <c r="A35" s="86">
        <v>29</v>
      </c>
      <c r="B35" s="45"/>
      <c r="C35" s="44"/>
      <c r="D35" s="4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1"/>
        <v>0</v>
      </c>
    </row>
    <row r="36" spans="1:19" x14ac:dyDescent="0.3">
      <c r="A36" s="86">
        <v>30</v>
      </c>
      <c r="B36" s="45"/>
      <c r="C36" s="44"/>
      <c r="D36" s="4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1"/>
        <v>0</v>
      </c>
    </row>
    <row r="37" spans="1:19" x14ac:dyDescent="0.3">
      <c r="A37" s="86">
        <v>31</v>
      </c>
      <c r="B37" s="45"/>
      <c r="C37" s="44"/>
      <c r="D37" s="4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1"/>
        <v>0</v>
      </c>
    </row>
    <row r="38" spans="1:19" x14ac:dyDescent="0.3">
      <c r="A38" s="86">
        <v>32</v>
      </c>
      <c r="B38" s="45"/>
      <c r="C38" s="44"/>
      <c r="D38" s="4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1"/>
        <v>0</v>
      </c>
    </row>
    <row r="39" spans="1:19" x14ac:dyDescent="0.3">
      <c r="A39" s="86">
        <v>33</v>
      </c>
      <c r="B39" s="45"/>
      <c r="C39" s="44"/>
      <c r="D39" s="4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1"/>
        <v>0</v>
      </c>
    </row>
    <row r="40" spans="1:19" x14ac:dyDescent="0.3">
      <c r="A40" s="86">
        <v>34</v>
      </c>
      <c r="B40" s="45"/>
      <c r="C40" s="44"/>
      <c r="D40" s="4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ref="S40:S71" si="2">SUM(E40:R40)</f>
        <v>0</v>
      </c>
    </row>
    <row r="41" spans="1:19" x14ac:dyDescent="0.3">
      <c r="A41" s="86">
        <v>35</v>
      </c>
      <c r="B41" s="45"/>
      <c r="C41" s="44"/>
      <c r="D41" s="4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86">
        <v>36</v>
      </c>
      <c r="B42" s="45"/>
      <c r="C42" s="44"/>
      <c r="D42" s="4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86">
        <v>37</v>
      </c>
      <c r="B43" s="45"/>
      <c r="C43" s="44"/>
      <c r="D43" s="4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86">
        <v>38</v>
      </c>
      <c r="B44" s="45"/>
      <c r="C44" s="44"/>
      <c r="D44" s="4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86">
        <v>39</v>
      </c>
      <c r="B45" s="45"/>
      <c r="C45" s="44"/>
      <c r="D45" s="4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  <row r="46" spans="1:19" x14ac:dyDescent="0.3">
      <c r="A46" s="86">
        <v>40</v>
      </c>
      <c r="B46" s="45"/>
      <c r="C46" s="44"/>
      <c r="D46" s="45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f t="shared" si="2"/>
        <v>0</v>
      </c>
    </row>
    <row r="47" spans="1:19" x14ac:dyDescent="0.3">
      <c r="A47" s="86">
        <v>41</v>
      </c>
      <c r="B47" s="45"/>
      <c r="C47" s="44"/>
      <c r="D47" s="45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>
        <f t="shared" si="2"/>
        <v>0</v>
      </c>
    </row>
    <row r="48" spans="1:19" x14ac:dyDescent="0.3">
      <c r="A48" s="86">
        <v>42</v>
      </c>
      <c r="B48" s="45"/>
      <c r="C48" s="44"/>
      <c r="D48" s="45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f t="shared" si="2"/>
        <v>0</v>
      </c>
    </row>
    <row r="49" spans="1:19" x14ac:dyDescent="0.3">
      <c r="A49" s="86">
        <v>43</v>
      </c>
      <c r="B49" s="45"/>
      <c r="C49" s="44"/>
      <c r="D49" s="45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f t="shared" si="2"/>
        <v>0</v>
      </c>
    </row>
    <row r="50" spans="1:19" x14ac:dyDescent="0.3">
      <c r="A50" s="86">
        <v>44</v>
      </c>
      <c r="B50" s="45"/>
      <c r="C50" s="44"/>
      <c r="D50" s="4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f t="shared" si="2"/>
        <v>0</v>
      </c>
    </row>
    <row r="51" spans="1:19" x14ac:dyDescent="0.3">
      <c r="A51" s="86">
        <v>45</v>
      </c>
      <c r="B51" s="45"/>
      <c r="C51" s="44"/>
      <c r="D51" s="45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f t="shared" si="2"/>
        <v>0</v>
      </c>
    </row>
    <row r="52" spans="1:19" x14ac:dyDescent="0.3">
      <c r="A52" s="86">
        <v>46</v>
      </c>
      <c r="B52" s="45"/>
      <c r="C52" s="44"/>
      <c r="D52" s="45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f t="shared" si="2"/>
        <v>0</v>
      </c>
    </row>
    <row r="53" spans="1:19" x14ac:dyDescent="0.3">
      <c r="A53" s="86">
        <v>47</v>
      </c>
      <c r="B53" s="45"/>
      <c r="C53" s="44"/>
      <c r="D53" s="45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f t="shared" si="2"/>
        <v>0</v>
      </c>
    </row>
    <row r="54" spans="1:19" x14ac:dyDescent="0.3">
      <c r="A54" s="86">
        <v>48</v>
      </c>
      <c r="B54" s="45"/>
      <c r="C54" s="44"/>
      <c r="D54" s="45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f t="shared" si="2"/>
        <v>0</v>
      </c>
    </row>
    <row r="55" spans="1:19" x14ac:dyDescent="0.3">
      <c r="A55" s="86">
        <v>49</v>
      </c>
      <c r="B55" s="45"/>
      <c r="C55" s="44"/>
      <c r="D55" s="45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f t="shared" si="2"/>
        <v>0</v>
      </c>
    </row>
    <row r="56" spans="1:19" x14ac:dyDescent="0.3">
      <c r="A56" s="86">
        <v>50</v>
      </c>
      <c r="B56" s="45"/>
      <c r="C56" s="44"/>
      <c r="D56" s="45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f t="shared" si="2"/>
        <v>0</v>
      </c>
    </row>
    <row r="57" spans="1:19" x14ac:dyDescent="0.3">
      <c r="A57" s="86">
        <v>51</v>
      </c>
      <c r="B57" s="45"/>
      <c r="C57" s="44"/>
      <c r="D57" s="45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>
        <f t="shared" si="2"/>
        <v>0</v>
      </c>
    </row>
    <row r="58" spans="1:19" x14ac:dyDescent="0.3">
      <c r="A58" s="86">
        <v>52</v>
      </c>
      <c r="B58" s="45"/>
      <c r="C58" s="44"/>
      <c r="D58" s="45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10">
        <f t="shared" si="2"/>
        <v>0</v>
      </c>
    </row>
    <row r="59" spans="1:19" x14ac:dyDescent="0.3">
      <c r="A59" s="86">
        <v>53</v>
      </c>
      <c r="B59" s="45"/>
      <c r="C59" s="44"/>
      <c r="D59" s="45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10">
        <f t="shared" si="2"/>
        <v>0</v>
      </c>
    </row>
    <row r="60" spans="1:19" x14ac:dyDescent="0.3">
      <c r="A60" s="86">
        <v>54</v>
      </c>
      <c r="B60" s="45"/>
      <c r="C60" s="44"/>
      <c r="D60" s="4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10">
        <f t="shared" si="2"/>
        <v>0</v>
      </c>
    </row>
    <row r="61" spans="1:19" x14ac:dyDescent="0.3">
      <c r="A61" s="86">
        <v>55</v>
      </c>
      <c r="B61" s="45"/>
      <c r="C61" s="44"/>
      <c r="D61" s="45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10">
        <f t="shared" si="2"/>
        <v>0</v>
      </c>
    </row>
    <row r="62" spans="1:19" x14ac:dyDescent="0.3">
      <c r="A62" s="86">
        <v>56</v>
      </c>
      <c r="B62" s="45"/>
      <c r="C62" s="44"/>
      <c r="D62" s="4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10">
        <f t="shared" si="2"/>
        <v>0</v>
      </c>
    </row>
    <row r="63" spans="1:19" x14ac:dyDescent="0.3">
      <c r="A63" s="86">
        <v>57</v>
      </c>
      <c r="B63" s="45"/>
      <c r="C63" s="44"/>
      <c r="D63" s="45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10">
        <f t="shared" si="2"/>
        <v>0</v>
      </c>
    </row>
    <row r="64" spans="1:19" x14ac:dyDescent="0.3">
      <c r="A64" s="86">
        <v>58</v>
      </c>
      <c r="B64" s="45"/>
      <c r="C64" s="44"/>
      <c r="D64" s="45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10">
        <f t="shared" si="2"/>
        <v>0</v>
      </c>
    </row>
    <row r="65" spans="1:19" x14ac:dyDescent="0.3">
      <c r="A65" s="86">
        <v>59</v>
      </c>
      <c r="B65" s="45"/>
      <c r="C65" s="44"/>
      <c r="D65" s="45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10">
        <f t="shared" si="2"/>
        <v>0</v>
      </c>
    </row>
    <row r="66" spans="1:19" x14ac:dyDescent="0.3">
      <c r="A66" s="86">
        <v>60</v>
      </c>
      <c r="B66" s="45"/>
      <c r="C66" s="44"/>
      <c r="D66" s="45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10">
        <f t="shared" si="2"/>
        <v>0</v>
      </c>
    </row>
    <row r="67" spans="1:19" x14ac:dyDescent="0.3">
      <c r="A67" s="86">
        <v>61</v>
      </c>
      <c r="B67" s="45"/>
      <c r="C67" s="44"/>
      <c r="D67" s="45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10">
        <f t="shared" si="2"/>
        <v>0</v>
      </c>
    </row>
    <row r="68" spans="1:19" x14ac:dyDescent="0.3">
      <c r="A68" s="86">
        <v>62</v>
      </c>
      <c r="B68" s="45"/>
      <c r="C68" s="44"/>
      <c r="D68" s="45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10">
        <f t="shared" si="2"/>
        <v>0</v>
      </c>
    </row>
    <row r="69" spans="1:19" x14ac:dyDescent="0.3">
      <c r="A69" s="86">
        <v>63</v>
      </c>
      <c r="B69" s="45"/>
      <c r="C69" s="44"/>
      <c r="D69" s="45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10">
        <f t="shared" si="2"/>
        <v>0</v>
      </c>
    </row>
    <row r="70" spans="1:19" x14ac:dyDescent="0.3">
      <c r="A70" s="86">
        <v>64</v>
      </c>
      <c r="B70" s="45"/>
      <c r="C70" s="44"/>
      <c r="D70" s="4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10">
        <f t="shared" si="2"/>
        <v>0</v>
      </c>
    </row>
    <row r="71" spans="1:19" x14ac:dyDescent="0.3">
      <c r="A71" s="86">
        <v>65</v>
      </c>
      <c r="B71" s="45"/>
      <c r="C71" s="44"/>
      <c r="D71" s="45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10">
        <f t="shared" si="2"/>
        <v>0</v>
      </c>
    </row>
    <row r="72" spans="1:19" x14ac:dyDescent="0.3">
      <c r="A72" s="86">
        <v>66</v>
      </c>
      <c r="B72" s="45"/>
      <c r="C72" s="44"/>
      <c r="D72" s="45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10">
        <f t="shared" ref="S72" si="3">SUM(E72:R72)</f>
        <v>0</v>
      </c>
    </row>
    <row r="73" spans="1:19" x14ac:dyDescent="0.3">
      <c r="A73" s="86">
        <v>67</v>
      </c>
      <c r="B73" s="45"/>
      <c r="C73" s="44"/>
      <c r="D73" s="45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10">
        <f t="shared" ref="S73:S107" si="4">SUM(E73:R73)</f>
        <v>0</v>
      </c>
    </row>
    <row r="74" spans="1:19" x14ac:dyDescent="0.3">
      <c r="A74" s="86">
        <v>68</v>
      </c>
      <c r="B74" s="45"/>
      <c r="C74" s="44"/>
      <c r="D74" s="45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10">
        <f t="shared" si="4"/>
        <v>0</v>
      </c>
    </row>
    <row r="75" spans="1:19" x14ac:dyDescent="0.3">
      <c r="A75" s="86">
        <v>69</v>
      </c>
      <c r="B75" s="45"/>
      <c r="C75" s="44"/>
      <c r="D75" s="45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10">
        <f t="shared" si="4"/>
        <v>0</v>
      </c>
    </row>
    <row r="76" spans="1:19" x14ac:dyDescent="0.3">
      <c r="A76" s="86">
        <v>70</v>
      </c>
      <c r="B76" s="45"/>
      <c r="C76" s="44"/>
      <c r="D76" s="45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10">
        <f t="shared" si="4"/>
        <v>0</v>
      </c>
    </row>
    <row r="77" spans="1:19" x14ac:dyDescent="0.3">
      <c r="A77" s="86">
        <v>71</v>
      </c>
      <c r="B77" s="45"/>
      <c r="C77" s="44"/>
      <c r="D77" s="45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10">
        <f t="shared" si="4"/>
        <v>0</v>
      </c>
    </row>
    <row r="78" spans="1:19" x14ac:dyDescent="0.3">
      <c r="A78" s="86">
        <v>72</v>
      </c>
      <c r="B78" s="45"/>
      <c r="C78" s="44"/>
      <c r="D78" s="45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10">
        <f t="shared" si="4"/>
        <v>0</v>
      </c>
    </row>
    <row r="79" spans="1:19" x14ac:dyDescent="0.3">
      <c r="A79" s="86">
        <v>73</v>
      </c>
      <c r="B79" s="45"/>
      <c r="C79" s="44"/>
      <c r="D79" s="45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10">
        <f t="shared" si="4"/>
        <v>0</v>
      </c>
    </row>
    <row r="80" spans="1:19" x14ac:dyDescent="0.3">
      <c r="A80" s="86">
        <v>74</v>
      </c>
      <c r="B80" s="45"/>
      <c r="C80" s="44"/>
      <c r="D80" s="45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10">
        <f t="shared" si="4"/>
        <v>0</v>
      </c>
    </row>
    <row r="81" spans="1:19" x14ac:dyDescent="0.3">
      <c r="A81" s="86">
        <v>75</v>
      </c>
      <c r="B81" s="45"/>
      <c r="C81" s="44"/>
      <c r="D81" s="45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10">
        <f t="shared" si="4"/>
        <v>0</v>
      </c>
    </row>
    <row r="82" spans="1:19" x14ac:dyDescent="0.3">
      <c r="A82" s="86">
        <v>76</v>
      </c>
      <c r="B82" s="45"/>
      <c r="C82" s="44"/>
      <c r="D82" s="45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10">
        <f t="shared" si="4"/>
        <v>0</v>
      </c>
    </row>
    <row r="83" spans="1:19" x14ac:dyDescent="0.3">
      <c r="A83" s="86">
        <v>77</v>
      </c>
      <c r="B83" s="45"/>
      <c r="C83" s="44"/>
      <c r="D83" s="45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10">
        <f t="shared" si="4"/>
        <v>0</v>
      </c>
    </row>
    <row r="84" spans="1:19" x14ac:dyDescent="0.3">
      <c r="A84" s="86">
        <v>78</v>
      </c>
      <c r="B84" s="45"/>
      <c r="C84" s="44"/>
      <c r="D84" s="45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10">
        <f t="shared" si="4"/>
        <v>0</v>
      </c>
    </row>
    <row r="85" spans="1:19" x14ac:dyDescent="0.3">
      <c r="A85" s="86">
        <v>79</v>
      </c>
      <c r="B85" s="45"/>
      <c r="C85" s="44"/>
      <c r="D85" s="45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10">
        <f t="shared" si="4"/>
        <v>0</v>
      </c>
    </row>
    <row r="86" spans="1:19" x14ac:dyDescent="0.3">
      <c r="A86" s="86">
        <v>80</v>
      </c>
      <c r="B86" s="45"/>
      <c r="C86" s="44"/>
      <c r="D86" s="45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10">
        <f t="shared" si="4"/>
        <v>0</v>
      </c>
    </row>
    <row r="87" spans="1:19" x14ac:dyDescent="0.3">
      <c r="A87" s="86">
        <v>81</v>
      </c>
      <c r="B87" s="45"/>
      <c r="C87" s="44"/>
      <c r="D87" s="45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10">
        <f t="shared" si="4"/>
        <v>0</v>
      </c>
    </row>
    <row r="88" spans="1:19" x14ac:dyDescent="0.3">
      <c r="A88" s="86">
        <v>82</v>
      </c>
      <c r="B88" s="45"/>
      <c r="C88" s="44"/>
      <c r="D88" s="45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10">
        <f t="shared" si="4"/>
        <v>0</v>
      </c>
    </row>
    <row r="89" spans="1:19" x14ac:dyDescent="0.3">
      <c r="A89" s="86">
        <v>83</v>
      </c>
      <c r="B89" s="45"/>
      <c r="C89" s="44"/>
      <c r="D89" s="45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10">
        <f t="shared" si="4"/>
        <v>0</v>
      </c>
    </row>
    <row r="90" spans="1:19" x14ac:dyDescent="0.3">
      <c r="A90" s="86">
        <v>84</v>
      </c>
      <c r="B90" s="45"/>
      <c r="C90" s="44"/>
      <c r="D90" s="45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10">
        <f t="shared" si="4"/>
        <v>0</v>
      </c>
    </row>
    <row r="91" spans="1:19" x14ac:dyDescent="0.3">
      <c r="A91" s="86">
        <v>85</v>
      </c>
      <c r="B91" s="45"/>
      <c r="C91" s="44"/>
      <c r="D91" s="45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10">
        <f t="shared" si="4"/>
        <v>0</v>
      </c>
    </row>
    <row r="92" spans="1:19" x14ac:dyDescent="0.3">
      <c r="A92" s="86">
        <v>86</v>
      </c>
      <c r="B92" s="45"/>
      <c r="C92" s="44"/>
      <c r="D92" s="45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10">
        <f t="shared" si="4"/>
        <v>0</v>
      </c>
    </row>
    <row r="93" spans="1:19" x14ac:dyDescent="0.3">
      <c r="A93" s="86">
        <v>87</v>
      </c>
      <c r="B93" s="45"/>
      <c r="C93" s="44"/>
      <c r="D93" s="45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10">
        <f t="shared" si="4"/>
        <v>0</v>
      </c>
    </row>
    <row r="94" spans="1:19" x14ac:dyDescent="0.3">
      <c r="A94" s="86">
        <v>88</v>
      </c>
      <c r="B94" s="45"/>
      <c r="C94" s="44"/>
      <c r="D94" s="45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10">
        <f t="shared" si="4"/>
        <v>0</v>
      </c>
    </row>
    <row r="95" spans="1:19" x14ac:dyDescent="0.3">
      <c r="A95" s="86">
        <v>89</v>
      </c>
      <c r="B95" s="45"/>
      <c r="C95" s="44"/>
      <c r="D95" s="45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10">
        <f t="shared" si="4"/>
        <v>0</v>
      </c>
    </row>
    <row r="96" spans="1:19" x14ac:dyDescent="0.3">
      <c r="A96" s="86">
        <v>90</v>
      </c>
      <c r="B96" s="45"/>
      <c r="C96" s="44"/>
      <c r="D96" s="45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10">
        <f t="shared" si="4"/>
        <v>0</v>
      </c>
    </row>
    <row r="97" spans="1:19" x14ac:dyDescent="0.3">
      <c r="A97" s="86">
        <v>91</v>
      </c>
      <c r="B97" s="45"/>
      <c r="C97" s="44"/>
      <c r="D97" s="45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10">
        <f t="shared" si="4"/>
        <v>0</v>
      </c>
    </row>
    <row r="98" spans="1:19" x14ac:dyDescent="0.3">
      <c r="A98" s="86">
        <v>92</v>
      </c>
      <c r="B98" s="45"/>
      <c r="C98" s="44"/>
      <c r="D98" s="45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10">
        <f t="shared" si="4"/>
        <v>0</v>
      </c>
    </row>
    <row r="99" spans="1:19" x14ac:dyDescent="0.3">
      <c r="A99" s="86">
        <v>93</v>
      </c>
      <c r="B99" s="45"/>
      <c r="C99" s="44"/>
      <c r="D99" s="45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10">
        <f t="shared" si="4"/>
        <v>0</v>
      </c>
    </row>
    <row r="100" spans="1:19" x14ac:dyDescent="0.3">
      <c r="A100" s="86">
        <v>94</v>
      </c>
      <c r="B100" s="45"/>
      <c r="C100" s="44"/>
      <c r="D100" s="4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10">
        <f t="shared" si="4"/>
        <v>0</v>
      </c>
    </row>
    <row r="101" spans="1:19" x14ac:dyDescent="0.3">
      <c r="A101" s="86">
        <v>95</v>
      </c>
      <c r="B101" s="45"/>
      <c r="C101" s="44"/>
      <c r="D101" s="45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10">
        <f t="shared" si="4"/>
        <v>0</v>
      </c>
    </row>
    <row r="102" spans="1:19" x14ac:dyDescent="0.3">
      <c r="A102" s="86">
        <v>96</v>
      </c>
      <c r="B102" s="45"/>
      <c r="C102" s="44"/>
      <c r="D102" s="45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10">
        <f t="shared" si="4"/>
        <v>0</v>
      </c>
    </row>
    <row r="103" spans="1:19" x14ac:dyDescent="0.3">
      <c r="A103" s="86">
        <v>97</v>
      </c>
      <c r="B103" s="45"/>
      <c r="C103" s="44"/>
      <c r="D103" s="45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10">
        <f t="shared" si="4"/>
        <v>0</v>
      </c>
    </row>
    <row r="104" spans="1:19" x14ac:dyDescent="0.3">
      <c r="A104" s="86">
        <v>98</v>
      </c>
      <c r="B104" s="45"/>
      <c r="C104" s="44"/>
      <c r="D104" s="45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10">
        <f t="shared" si="4"/>
        <v>0</v>
      </c>
    </row>
    <row r="105" spans="1:19" x14ac:dyDescent="0.3">
      <c r="A105" s="86">
        <v>99</v>
      </c>
      <c r="B105" s="45"/>
      <c r="C105" s="44"/>
      <c r="D105" s="4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10">
        <f t="shared" si="4"/>
        <v>0</v>
      </c>
    </row>
    <row r="106" spans="1:19" x14ac:dyDescent="0.3">
      <c r="A106" s="86">
        <v>100</v>
      </c>
      <c r="B106" s="45"/>
      <c r="C106" s="44"/>
      <c r="D106" s="45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10">
        <f t="shared" si="4"/>
        <v>0</v>
      </c>
    </row>
    <row r="107" spans="1:19" x14ac:dyDescent="0.3">
      <c r="A107" s="86">
        <v>101</v>
      </c>
      <c r="B107" s="45"/>
      <c r="C107" s="44"/>
      <c r="D107" s="45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10">
        <f t="shared" si="4"/>
        <v>0</v>
      </c>
    </row>
  </sheetData>
  <mergeCells count="5">
    <mergeCell ref="E2:G2"/>
    <mergeCell ref="H2:N2"/>
    <mergeCell ref="Q2:R2"/>
    <mergeCell ref="S2:S3"/>
    <mergeCell ref="O2:P2"/>
  </mergeCells>
  <hyperlinks>
    <hyperlink ref="D8" r:id="rId1" display="การโอนเปลี่ยนแปลงงบประมาณ 65\001.pdf"/>
    <hyperlink ref="D10" r:id="rId2"/>
    <hyperlink ref="D11" r:id="rId3"/>
    <hyperlink ref="D12" r:id="rId4"/>
    <hyperlink ref="D13" r:id="rId5"/>
    <hyperlink ref="D15" r:id="rId6"/>
    <hyperlink ref="D16" r:id="rId7"/>
    <hyperlink ref="D17" r:id="rId8"/>
    <hyperlink ref="D19" r:id="rId9"/>
    <hyperlink ref="D20" r:id="rId10"/>
    <hyperlink ref="D21" r:id="rId11"/>
  </hyperlinks>
  <pageMargins left="0.7" right="0.7" top="0.75" bottom="0.75" header="0.3" footer="0.3"/>
  <pageSetup paperSize="9" orientation="portrait" horizontalDpi="0" verticalDpi="0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zoomScale="93" zoomScaleNormal="93" zoomScaleSheetLayoutView="93" workbookViewId="0">
      <pane xSplit="9" ySplit="14" topLeftCell="J48" activePane="bottomRight" state="frozen"/>
      <selection activeCell="M4" sqref="M4"/>
      <selection pane="topRight" activeCell="M4" sqref="M4"/>
      <selection pane="bottomLeft" activeCell="M4" sqref="M4"/>
      <selection pane="bottomRight"/>
    </sheetView>
  </sheetViews>
  <sheetFormatPr defaultRowHeight="18.75" x14ac:dyDescent="0.3"/>
  <cols>
    <col min="1" max="1" width="4.625" style="1" customWidth="1"/>
    <col min="2" max="2" width="3.625" style="1" customWidth="1"/>
    <col min="3" max="3" width="43.625" style="1" customWidth="1"/>
    <col min="4" max="8" width="10.625" style="33" customWidth="1"/>
    <col min="9" max="9" width="10.5" style="33" customWidth="1"/>
    <col min="10" max="19" width="10.625" style="33" customWidth="1"/>
    <col min="20" max="20" width="6.625" style="33" customWidth="1"/>
    <col min="21" max="21" width="10.625" style="1" customWidth="1"/>
    <col min="22" max="16384" width="9" style="1"/>
  </cols>
  <sheetData>
    <row r="1" spans="1:21" x14ac:dyDescent="0.3">
      <c r="D1" s="47" t="s">
        <v>97</v>
      </c>
      <c r="E1" s="1"/>
      <c r="F1" s="48">
        <f>Note!$B$2</f>
        <v>2565</v>
      </c>
      <c r="G1" s="47" t="str">
        <f>Note!$B$1</f>
        <v>วิทยาลัยการอาชีพนวมินทราชินีแม่ฮ่องสอน</v>
      </c>
    </row>
    <row r="2" spans="1:21" ht="14.25" customHeight="1" x14ac:dyDescent="0.3">
      <c r="C2" s="21"/>
      <c r="D2" s="152" t="s">
        <v>13</v>
      </c>
      <c r="E2" s="152"/>
      <c r="F2" s="152"/>
      <c r="G2" s="153" t="s">
        <v>14</v>
      </c>
      <c r="H2" s="154"/>
      <c r="I2" s="154"/>
      <c r="J2" s="154"/>
      <c r="K2" s="154"/>
      <c r="L2" s="155"/>
      <c r="M2" s="127"/>
      <c r="N2" s="153" t="s">
        <v>16</v>
      </c>
      <c r="O2" s="155"/>
      <c r="P2" s="156" t="s">
        <v>15</v>
      </c>
      <c r="Q2" s="156"/>
      <c r="R2" s="156" t="s">
        <v>10</v>
      </c>
      <c r="S2" s="158">
        <f ca="1">NOW()</f>
        <v>44648.644222800925</v>
      </c>
      <c r="T2" s="159"/>
      <c r="U2" s="160"/>
    </row>
    <row r="3" spans="1:21" x14ac:dyDescent="0.3">
      <c r="D3" s="108" t="s">
        <v>0</v>
      </c>
      <c r="E3" s="108" t="s">
        <v>1</v>
      </c>
      <c r="F3" s="108" t="s">
        <v>2</v>
      </c>
      <c r="G3" s="108" t="s">
        <v>209</v>
      </c>
      <c r="H3" s="108" t="s">
        <v>3</v>
      </c>
      <c r="I3" s="108" t="s">
        <v>4</v>
      </c>
      <c r="J3" s="108" t="s">
        <v>6</v>
      </c>
      <c r="K3" s="108" t="s">
        <v>5</v>
      </c>
      <c r="L3" s="108" t="s">
        <v>7</v>
      </c>
      <c r="M3" s="126" t="s">
        <v>376</v>
      </c>
      <c r="N3" s="108" t="s">
        <v>12</v>
      </c>
      <c r="O3" s="108" t="s">
        <v>230</v>
      </c>
      <c r="P3" s="108" t="s">
        <v>8</v>
      </c>
      <c r="Q3" s="108" t="s">
        <v>9</v>
      </c>
      <c r="R3" s="156"/>
      <c r="S3" s="157" t="s">
        <v>140</v>
      </c>
      <c r="T3" s="157"/>
      <c r="U3" s="157"/>
    </row>
    <row r="4" spans="1:21" x14ac:dyDescent="0.3">
      <c r="C4" s="49" t="s">
        <v>17</v>
      </c>
      <c r="D4" s="92">
        <f>งปม.เข้า!E4</f>
        <v>12525890</v>
      </c>
      <c r="E4" s="92">
        <f>งปม.เข้า!F4</f>
        <v>312200</v>
      </c>
      <c r="F4" s="92">
        <f>งปม.เข้า!G4</f>
        <v>272000</v>
      </c>
      <c r="G4" s="92">
        <f>งปม.เข้า!H4</f>
        <v>1907050</v>
      </c>
      <c r="H4" s="92">
        <f>งปม.เข้า!I4</f>
        <v>604000</v>
      </c>
      <c r="I4" s="92">
        <f>งปม.เข้า!J4</f>
        <v>0</v>
      </c>
      <c r="J4" s="92">
        <f>งปม.เข้า!K4</f>
        <v>286900</v>
      </c>
      <c r="K4" s="92">
        <f>งปม.เข้า!L4</f>
        <v>138920</v>
      </c>
      <c r="L4" s="92" t="str">
        <f>งปม.เข้า!M4</f>
        <v xml:space="preserve">   </v>
      </c>
      <c r="M4" s="92">
        <f>งปม.เข้า!N4</f>
        <v>85000</v>
      </c>
      <c r="N4" s="92">
        <f>งปม.เข้า!O4</f>
        <v>599500</v>
      </c>
      <c r="O4" s="92">
        <f>งปม.เข้า!P4</f>
        <v>2554.4</v>
      </c>
      <c r="P4" s="92">
        <f>งปม.เข้า!Q4</f>
        <v>728817.83</v>
      </c>
      <c r="Q4" s="92">
        <f>งปม.เข้า!R4</f>
        <v>0</v>
      </c>
      <c r="R4" s="92">
        <f>SUM(D4:Q4)</f>
        <v>17462832.23</v>
      </c>
      <c r="S4" s="65" t="s">
        <v>94</v>
      </c>
      <c r="T4" s="66" t="s">
        <v>95</v>
      </c>
      <c r="U4" s="67" t="s">
        <v>96</v>
      </c>
    </row>
    <row r="5" spans="1:21" x14ac:dyDescent="0.3">
      <c r="C5" s="49" t="s">
        <v>18</v>
      </c>
      <c r="D5" s="92">
        <f>SUM(D9:D120)</f>
        <v>10365953.23</v>
      </c>
      <c r="E5" s="92">
        <f t="shared" ref="E5:Q5" si="0">SUM(E9:E120)</f>
        <v>310768</v>
      </c>
      <c r="F5" s="92">
        <f t="shared" si="0"/>
        <v>158347.29999999999</v>
      </c>
      <c r="G5" s="92">
        <f t="shared" si="0"/>
        <v>1984939.45</v>
      </c>
      <c r="H5" s="92">
        <f t="shared" si="0"/>
        <v>0</v>
      </c>
      <c r="I5" s="92">
        <f t="shared" si="0"/>
        <v>0</v>
      </c>
      <c r="J5" s="92">
        <f t="shared" si="0"/>
        <v>267218</v>
      </c>
      <c r="K5" s="92">
        <f t="shared" si="0"/>
        <v>135240</v>
      </c>
      <c r="L5" s="92">
        <f t="shared" si="0"/>
        <v>0</v>
      </c>
      <c r="M5" s="92">
        <f t="shared" si="0"/>
        <v>85000</v>
      </c>
      <c r="N5" s="92">
        <f t="shared" si="0"/>
        <v>609105.5</v>
      </c>
      <c r="O5" s="92">
        <f t="shared" si="0"/>
        <v>2257.92</v>
      </c>
      <c r="P5" s="92">
        <f t="shared" si="0"/>
        <v>317696.98</v>
      </c>
      <c r="Q5" s="92">
        <f t="shared" si="0"/>
        <v>0</v>
      </c>
      <c r="R5" s="92">
        <f>SUM(D5:Q5)</f>
        <v>14236526.380000001</v>
      </c>
      <c r="S5" s="66">
        <f>SUM(S10:S120)</f>
        <v>8548554.4299999997</v>
      </c>
      <c r="T5" s="68">
        <f>(100/R5)*S5</f>
        <v>60.046630770897352</v>
      </c>
      <c r="U5" s="69">
        <f>SUM(U10:U120)</f>
        <v>5687971.9500000002</v>
      </c>
    </row>
    <row r="6" spans="1:21" x14ac:dyDescent="0.3">
      <c r="C6" s="49" t="s">
        <v>19</v>
      </c>
      <c r="D6" s="92">
        <f>D4-D5</f>
        <v>2159936.7699999996</v>
      </c>
      <c r="E6" s="92">
        <f t="shared" ref="E6:R6" si="1">E4-E5</f>
        <v>1432</v>
      </c>
      <c r="F6" s="92">
        <f t="shared" si="1"/>
        <v>113652.70000000001</v>
      </c>
      <c r="G6" s="92">
        <f t="shared" si="1"/>
        <v>-77889.449999999953</v>
      </c>
      <c r="H6" s="92">
        <f t="shared" si="1"/>
        <v>604000</v>
      </c>
      <c r="I6" s="92">
        <f t="shared" si="1"/>
        <v>0</v>
      </c>
      <c r="J6" s="92">
        <f t="shared" si="1"/>
        <v>19682</v>
      </c>
      <c r="K6" s="92">
        <f t="shared" si="1"/>
        <v>3680</v>
      </c>
      <c r="L6" s="92"/>
      <c r="M6" s="92">
        <f t="shared" si="1"/>
        <v>0</v>
      </c>
      <c r="N6" s="92">
        <f t="shared" si="1"/>
        <v>-9605.5</v>
      </c>
      <c r="O6" s="92">
        <f t="shared" si="1"/>
        <v>296.48</v>
      </c>
      <c r="P6" s="92">
        <f t="shared" si="1"/>
        <v>411120.85</v>
      </c>
      <c r="Q6" s="92">
        <f t="shared" si="1"/>
        <v>0</v>
      </c>
      <c r="R6" s="92">
        <f t="shared" si="1"/>
        <v>3226305.8499999996</v>
      </c>
      <c r="U6" s="70"/>
    </row>
    <row r="7" spans="1:21" ht="21.75" x14ac:dyDescent="0.5">
      <c r="B7" s="78"/>
    </row>
    <row r="8" spans="1:21" x14ac:dyDescent="0.3">
      <c r="D8" s="108" t="s">
        <v>0</v>
      </c>
      <c r="E8" s="108" t="s">
        <v>1</v>
      </c>
      <c r="F8" s="108" t="s">
        <v>2</v>
      </c>
      <c r="G8" s="108" t="s">
        <v>11</v>
      </c>
      <c r="H8" s="108" t="s">
        <v>3</v>
      </c>
      <c r="I8" s="108" t="s">
        <v>4</v>
      </c>
      <c r="J8" s="108" t="s">
        <v>6</v>
      </c>
      <c r="K8" s="108" t="s">
        <v>5</v>
      </c>
      <c r="L8" s="108" t="s">
        <v>7</v>
      </c>
      <c r="M8" s="126" t="str">
        <f>M3</f>
        <v>ทั่วไป</v>
      </c>
      <c r="N8" s="108" t="s">
        <v>12</v>
      </c>
      <c r="O8" s="108" t="str">
        <f>+O3</f>
        <v>เงินนอก</v>
      </c>
      <c r="P8" s="108" t="s">
        <v>8</v>
      </c>
      <c r="Q8" s="108" t="s">
        <v>9</v>
      </c>
      <c r="R8" s="108" t="s">
        <v>10</v>
      </c>
      <c r="S8" s="108" t="s">
        <v>94</v>
      </c>
      <c r="T8" s="108" t="s">
        <v>95</v>
      </c>
      <c r="U8" s="109" t="s">
        <v>96</v>
      </c>
    </row>
    <row r="9" spans="1:21" x14ac:dyDescent="0.3">
      <c r="A9" s="50" t="s">
        <v>23</v>
      </c>
      <c r="B9" s="51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71"/>
    </row>
    <row r="10" spans="1:21" x14ac:dyDescent="0.3">
      <c r="A10" s="53">
        <f>Note!$B$2</f>
        <v>2565</v>
      </c>
      <c r="B10" s="72">
        <v>101</v>
      </c>
      <c r="C10" s="55" t="s">
        <v>24</v>
      </c>
      <c r="D10" s="10">
        <v>765050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f>SUM(D10:Q10)</f>
        <v>765050</v>
      </c>
      <c r="S10" s="10">
        <f>'101'!$S$6</f>
        <v>765000</v>
      </c>
      <c r="T10" s="73">
        <f>(100/R10)*S10</f>
        <v>99.993464479445791</v>
      </c>
      <c r="U10" s="74">
        <f>R10-S10</f>
        <v>50</v>
      </c>
    </row>
    <row r="11" spans="1:21" x14ac:dyDescent="0.3">
      <c r="A11" s="53">
        <f>Note!$B$2</f>
        <v>2565</v>
      </c>
      <c r="B11" s="72">
        <v>102</v>
      </c>
      <c r="C11" s="56" t="s">
        <v>141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f>SUM(D11:Q11)</f>
        <v>0</v>
      </c>
      <c r="S11" s="10">
        <f>'102'!$S$6</f>
        <v>0</v>
      </c>
      <c r="T11" s="73" t="e">
        <f t="shared" ref="T11:T74" si="2">(100/R11)*S11</f>
        <v>#DIV/0!</v>
      </c>
      <c r="U11" s="74">
        <f t="shared" ref="U11:U74" si="3">R11-S11</f>
        <v>0</v>
      </c>
    </row>
    <row r="12" spans="1:21" x14ac:dyDescent="0.3">
      <c r="A12" s="53">
        <f>Note!$B$2</f>
        <v>2565</v>
      </c>
      <c r="B12" s="72">
        <v>103</v>
      </c>
      <c r="C12" s="56" t="s">
        <v>142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f>SUM(D12:Q12)</f>
        <v>0</v>
      </c>
      <c r="S12" s="10">
        <f>'103'!$S$6</f>
        <v>0</v>
      </c>
      <c r="T12" s="73" t="e">
        <f t="shared" si="2"/>
        <v>#DIV/0!</v>
      </c>
      <c r="U12" s="74">
        <f t="shared" si="3"/>
        <v>0</v>
      </c>
    </row>
    <row r="13" spans="1:21" x14ac:dyDescent="0.3">
      <c r="A13" s="53">
        <f>Note!$B$2</f>
        <v>2565</v>
      </c>
      <c r="B13" s="72">
        <v>104</v>
      </c>
      <c r="C13" s="56" t="s">
        <v>143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f>SUM(D13:Q13)</f>
        <v>0</v>
      </c>
      <c r="S13" s="10">
        <f>'104'!$S$6</f>
        <v>0</v>
      </c>
      <c r="T13" s="73" t="e">
        <f t="shared" si="2"/>
        <v>#DIV/0!</v>
      </c>
      <c r="U13" s="74">
        <f t="shared" si="3"/>
        <v>0</v>
      </c>
    </row>
    <row r="14" spans="1:21" x14ac:dyDescent="0.3">
      <c r="A14" s="53">
        <f>Note!$B$2</f>
        <v>2565</v>
      </c>
      <c r="B14" s="72">
        <v>105</v>
      </c>
      <c r="C14" s="56" t="s">
        <v>144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f>SUM(D14:Q14)</f>
        <v>0</v>
      </c>
      <c r="S14" s="10">
        <f>'105'!$S$6</f>
        <v>0</v>
      </c>
      <c r="T14" s="73" t="e">
        <f t="shared" si="2"/>
        <v>#DIV/0!</v>
      </c>
      <c r="U14" s="74">
        <f t="shared" si="3"/>
        <v>0</v>
      </c>
    </row>
    <row r="15" spans="1:21" x14ac:dyDescent="0.3">
      <c r="A15" s="50" t="s">
        <v>25</v>
      </c>
      <c r="B15" s="57"/>
      <c r="C15" s="58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75"/>
      <c r="U15" s="76"/>
    </row>
    <row r="16" spans="1:21" x14ac:dyDescent="0.3">
      <c r="A16" s="59">
        <f>Note!$B$2</f>
        <v>2565</v>
      </c>
      <c r="B16" s="72">
        <v>201</v>
      </c>
      <c r="C16" s="56" t="s">
        <v>26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f t="shared" ref="R16:R29" si="4">SUM(D16:Q16)</f>
        <v>0</v>
      </c>
      <c r="S16" s="10">
        <f>'201'!$S$6</f>
        <v>0</v>
      </c>
      <c r="T16" s="73" t="e">
        <f t="shared" si="2"/>
        <v>#DIV/0!</v>
      </c>
      <c r="U16" s="74">
        <f t="shared" si="3"/>
        <v>0</v>
      </c>
    </row>
    <row r="17" spans="1:21" x14ac:dyDescent="0.3">
      <c r="A17" s="59">
        <f>Note!$B$2</f>
        <v>2565</v>
      </c>
      <c r="B17" s="72">
        <v>202</v>
      </c>
      <c r="C17" s="56" t="s">
        <v>27</v>
      </c>
      <c r="D17" s="10"/>
      <c r="E17" s="10"/>
      <c r="F17" s="10"/>
      <c r="G17" s="10">
        <f>169920</f>
        <v>169920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f t="shared" si="4"/>
        <v>169920</v>
      </c>
      <c r="S17" s="10">
        <f>'202'!$S$6</f>
        <v>169920</v>
      </c>
      <c r="T17" s="73">
        <f t="shared" si="2"/>
        <v>100</v>
      </c>
      <c r="U17" s="74">
        <f t="shared" si="3"/>
        <v>0</v>
      </c>
    </row>
    <row r="18" spans="1:21" x14ac:dyDescent="0.3">
      <c r="A18" s="59">
        <f>Note!$B$2</f>
        <v>2565</v>
      </c>
      <c r="B18" s="72">
        <v>203</v>
      </c>
      <c r="C18" s="56" t="s">
        <v>28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>
        <f t="shared" si="4"/>
        <v>0</v>
      </c>
      <c r="S18" s="10">
        <f>'203'!$S$6</f>
        <v>0</v>
      </c>
      <c r="T18" s="73" t="e">
        <f t="shared" si="2"/>
        <v>#DIV/0!</v>
      </c>
      <c r="U18" s="74">
        <f t="shared" si="3"/>
        <v>0</v>
      </c>
    </row>
    <row r="19" spans="1:21" x14ac:dyDescent="0.3">
      <c r="A19" s="59">
        <f>Note!$B$2</f>
        <v>2565</v>
      </c>
      <c r="B19" s="72">
        <v>204</v>
      </c>
      <c r="C19" s="56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f t="shared" si="4"/>
        <v>0</v>
      </c>
      <c r="S19" s="10">
        <f>'204'!$S$6</f>
        <v>0</v>
      </c>
      <c r="T19" s="73" t="e">
        <f t="shared" si="2"/>
        <v>#DIV/0!</v>
      </c>
      <c r="U19" s="74">
        <f t="shared" si="3"/>
        <v>0</v>
      </c>
    </row>
    <row r="20" spans="1:21" x14ac:dyDescent="0.3">
      <c r="A20" s="59">
        <f>Note!$B$2</f>
        <v>2565</v>
      </c>
      <c r="B20" s="72">
        <v>205</v>
      </c>
      <c r="C20" s="56" t="s">
        <v>30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f t="shared" si="4"/>
        <v>0</v>
      </c>
      <c r="S20" s="10">
        <f>'205'!$S$6</f>
        <v>0</v>
      </c>
      <c r="T20" s="73" t="e">
        <f t="shared" si="2"/>
        <v>#DIV/0!</v>
      </c>
      <c r="U20" s="74">
        <f t="shared" si="3"/>
        <v>0</v>
      </c>
    </row>
    <row r="21" spans="1:21" x14ac:dyDescent="0.3">
      <c r="A21" s="59">
        <f>Note!$B$2</f>
        <v>2565</v>
      </c>
      <c r="B21" s="72">
        <v>206</v>
      </c>
      <c r="C21" s="56" t="s">
        <v>31</v>
      </c>
      <c r="D21" s="10"/>
      <c r="E21" s="10"/>
      <c r="F21" s="10"/>
      <c r="G21" s="10">
        <f>238200+260540+260540+260540</f>
        <v>1019820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f t="shared" si="4"/>
        <v>1019820</v>
      </c>
      <c r="S21" s="10">
        <f>'206'!$S$6</f>
        <v>1019820</v>
      </c>
      <c r="T21" s="73">
        <f t="shared" si="2"/>
        <v>100</v>
      </c>
      <c r="U21" s="74">
        <f t="shared" si="3"/>
        <v>0</v>
      </c>
    </row>
    <row r="22" spans="1:21" x14ac:dyDescent="0.3">
      <c r="A22" s="59">
        <f>Note!$B$2</f>
        <v>2565</v>
      </c>
      <c r="B22" s="72">
        <v>207</v>
      </c>
      <c r="C22" s="56" t="s">
        <v>32</v>
      </c>
      <c r="D22" s="10"/>
      <c r="E22" s="10"/>
      <c r="F22" s="10"/>
      <c r="G22" s="10">
        <f>171026.45+167120.67+169600.33+149090</f>
        <v>656837.44999999995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f t="shared" si="4"/>
        <v>656837.44999999995</v>
      </c>
      <c r="S22" s="10">
        <f>'207'!$S$6</f>
        <v>656837.44999999995</v>
      </c>
      <c r="T22" s="73">
        <f t="shared" si="2"/>
        <v>100</v>
      </c>
      <c r="U22" s="74">
        <f t="shared" si="3"/>
        <v>0</v>
      </c>
    </row>
    <row r="23" spans="1:21" x14ac:dyDescent="0.3">
      <c r="A23" s="59">
        <f>Note!$B$2</f>
        <v>2565</v>
      </c>
      <c r="B23" s="72">
        <v>208</v>
      </c>
      <c r="C23" s="56" t="s">
        <v>33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f t="shared" si="4"/>
        <v>0</v>
      </c>
      <c r="S23" s="10">
        <f>'208'!$S$6</f>
        <v>0</v>
      </c>
      <c r="T23" s="73" t="e">
        <f t="shared" si="2"/>
        <v>#DIV/0!</v>
      </c>
      <c r="U23" s="74">
        <f t="shared" si="3"/>
        <v>0</v>
      </c>
    </row>
    <row r="24" spans="1:21" x14ac:dyDescent="0.3">
      <c r="A24" s="59">
        <f>Note!$B$2</f>
        <v>2565</v>
      </c>
      <c r="B24" s="72">
        <v>209</v>
      </c>
      <c r="C24" s="56" t="s">
        <v>34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f t="shared" si="4"/>
        <v>0</v>
      </c>
      <c r="S24" s="10">
        <f>'209'!$S$6</f>
        <v>0</v>
      </c>
      <c r="T24" s="73" t="e">
        <f t="shared" si="2"/>
        <v>#DIV/0!</v>
      </c>
      <c r="U24" s="74">
        <f t="shared" si="3"/>
        <v>0</v>
      </c>
    </row>
    <row r="25" spans="1:21" x14ac:dyDescent="0.3">
      <c r="A25" s="59">
        <f>Note!$B$2</f>
        <v>2565</v>
      </c>
      <c r="B25" s="72">
        <v>210</v>
      </c>
      <c r="C25" s="56" t="s">
        <v>141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f t="shared" si="4"/>
        <v>0</v>
      </c>
      <c r="S25" s="10">
        <f>'210'!$S$6</f>
        <v>0</v>
      </c>
      <c r="T25" s="73" t="e">
        <f t="shared" si="2"/>
        <v>#DIV/0!</v>
      </c>
      <c r="U25" s="74">
        <f t="shared" si="3"/>
        <v>0</v>
      </c>
    </row>
    <row r="26" spans="1:21" x14ac:dyDescent="0.3">
      <c r="A26" s="59">
        <f>Note!$B$2</f>
        <v>2565</v>
      </c>
      <c r="B26" s="72">
        <v>211</v>
      </c>
      <c r="C26" s="56" t="s">
        <v>142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f t="shared" si="4"/>
        <v>0</v>
      </c>
      <c r="S26" s="10">
        <f>'211'!$S$6</f>
        <v>0</v>
      </c>
      <c r="T26" s="73" t="e">
        <f t="shared" si="2"/>
        <v>#DIV/0!</v>
      </c>
      <c r="U26" s="74">
        <f t="shared" si="3"/>
        <v>0</v>
      </c>
    </row>
    <row r="27" spans="1:21" x14ac:dyDescent="0.3">
      <c r="A27" s="59">
        <f>Note!$B$2</f>
        <v>2565</v>
      </c>
      <c r="B27" s="72">
        <v>212</v>
      </c>
      <c r="C27" s="56" t="s">
        <v>143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f t="shared" si="4"/>
        <v>0</v>
      </c>
      <c r="S27" s="10">
        <f>'212'!$S$6</f>
        <v>0</v>
      </c>
      <c r="T27" s="73" t="e">
        <f t="shared" si="2"/>
        <v>#DIV/0!</v>
      </c>
      <c r="U27" s="74">
        <f t="shared" si="3"/>
        <v>0</v>
      </c>
    </row>
    <row r="28" spans="1:21" x14ac:dyDescent="0.3">
      <c r="A28" s="59">
        <f>Note!$B$2</f>
        <v>2565</v>
      </c>
      <c r="B28" s="72">
        <v>213</v>
      </c>
      <c r="C28" s="56" t="s">
        <v>144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f t="shared" si="4"/>
        <v>0</v>
      </c>
      <c r="S28" s="10">
        <f>'213'!$S$6</f>
        <v>0</v>
      </c>
      <c r="T28" s="73" t="e">
        <f t="shared" si="2"/>
        <v>#DIV/0!</v>
      </c>
      <c r="U28" s="74">
        <f t="shared" si="3"/>
        <v>0</v>
      </c>
    </row>
    <row r="29" spans="1:21" x14ac:dyDescent="0.3">
      <c r="A29" s="59">
        <f>Note!$B$2</f>
        <v>2565</v>
      </c>
      <c r="B29" s="72">
        <v>214</v>
      </c>
      <c r="C29" s="56" t="s">
        <v>145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f t="shared" si="4"/>
        <v>0</v>
      </c>
      <c r="S29" s="10">
        <f>'214'!$S$6</f>
        <v>0</v>
      </c>
      <c r="T29" s="73" t="e">
        <f t="shared" si="2"/>
        <v>#DIV/0!</v>
      </c>
      <c r="U29" s="74">
        <f t="shared" si="3"/>
        <v>0</v>
      </c>
    </row>
    <row r="30" spans="1:21" x14ac:dyDescent="0.3">
      <c r="A30" s="50" t="s">
        <v>35</v>
      </c>
      <c r="B30" s="57"/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75"/>
      <c r="U30" s="76"/>
    </row>
    <row r="31" spans="1:21" x14ac:dyDescent="0.3">
      <c r="A31" s="59">
        <f>Note!$B$2</f>
        <v>2565</v>
      </c>
      <c r="B31" s="72">
        <v>301</v>
      </c>
      <c r="C31" s="56" t="s">
        <v>36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>
        <f t="shared" ref="R31:R44" si="5">SUM(D31:Q31)</f>
        <v>0</v>
      </c>
      <c r="S31" s="10">
        <f>'301'!$S$6</f>
        <v>10</v>
      </c>
      <c r="T31" s="73" t="e">
        <f t="shared" si="2"/>
        <v>#DIV/0!</v>
      </c>
      <c r="U31" s="74">
        <f t="shared" si="3"/>
        <v>-10</v>
      </c>
    </row>
    <row r="32" spans="1:21" x14ac:dyDescent="0.3">
      <c r="A32" s="59">
        <f>Note!$B$2</f>
        <v>2565</v>
      </c>
      <c r="B32" s="72">
        <v>302</v>
      </c>
      <c r="C32" s="56" t="s">
        <v>37</v>
      </c>
      <c r="D32" s="10"/>
      <c r="E32" s="10"/>
      <c r="F32" s="10">
        <f>4920</f>
        <v>4920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f t="shared" si="5"/>
        <v>4920</v>
      </c>
      <c r="S32" s="10">
        <f>'302'!$S$6</f>
        <v>4920</v>
      </c>
      <c r="T32" s="73">
        <f t="shared" si="2"/>
        <v>100</v>
      </c>
      <c r="U32" s="74">
        <f t="shared" si="3"/>
        <v>0</v>
      </c>
    </row>
    <row r="33" spans="1:21" x14ac:dyDescent="0.3">
      <c r="A33" s="59">
        <f>Note!$B$2</f>
        <v>2565</v>
      </c>
      <c r="B33" s="72">
        <v>303</v>
      </c>
      <c r="C33" s="56" t="s">
        <v>38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f t="shared" si="5"/>
        <v>0</v>
      </c>
      <c r="S33" s="10">
        <f>'303'!$S$6</f>
        <v>30</v>
      </c>
      <c r="T33" s="73" t="e">
        <f t="shared" si="2"/>
        <v>#DIV/0!</v>
      </c>
      <c r="U33" s="74">
        <f t="shared" si="3"/>
        <v>-30</v>
      </c>
    </row>
    <row r="34" spans="1:21" x14ac:dyDescent="0.3">
      <c r="A34" s="59">
        <f>Note!$B$2</f>
        <v>2565</v>
      </c>
      <c r="B34" s="72">
        <v>304</v>
      </c>
      <c r="C34" s="56" t="s">
        <v>39</v>
      </c>
      <c r="D34" s="10"/>
      <c r="E34" s="10"/>
      <c r="F34" s="10">
        <f>48768.7</f>
        <v>48768.7</v>
      </c>
      <c r="G34" s="10">
        <v>9670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f t="shared" si="5"/>
        <v>58438.7</v>
      </c>
      <c r="S34" s="10">
        <f>'304'!$S$6</f>
        <v>58438.7</v>
      </c>
      <c r="T34" s="73">
        <f t="shared" si="2"/>
        <v>100</v>
      </c>
      <c r="U34" s="74">
        <f t="shared" si="3"/>
        <v>0</v>
      </c>
    </row>
    <row r="35" spans="1:21" x14ac:dyDescent="0.3">
      <c r="A35" s="59">
        <f>Note!$B$2</f>
        <v>2565</v>
      </c>
      <c r="B35" s="72">
        <v>305</v>
      </c>
      <c r="C35" s="56" t="s">
        <v>302</v>
      </c>
      <c r="D35" s="10"/>
      <c r="E35" s="10"/>
      <c r="F35" s="10">
        <f>27400</f>
        <v>27400</v>
      </c>
      <c r="G35" s="10">
        <f>2760+5020</f>
        <v>7780</v>
      </c>
      <c r="H35" s="10"/>
      <c r="I35" s="10"/>
      <c r="J35" s="10">
        <f>27980+8880+16440+8740+82118+30040+23500</f>
        <v>197698</v>
      </c>
      <c r="K35" s="10"/>
      <c r="L35" s="10"/>
      <c r="M35" s="10"/>
      <c r="N35" s="10"/>
      <c r="O35" s="10"/>
      <c r="P35" s="10">
        <v>71780</v>
      </c>
      <c r="Q35" s="10"/>
      <c r="R35" s="10">
        <f t="shared" si="5"/>
        <v>304658</v>
      </c>
      <c r="S35" s="10">
        <f>'305'!$S$6</f>
        <v>304658</v>
      </c>
      <c r="T35" s="73">
        <f t="shared" si="2"/>
        <v>100</v>
      </c>
      <c r="U35" s="74">
        <f t="shared" si="3"/>
        <v>0</v>
      </c>
    </row>
    <row r="36" spans="1:21" x14ac:dyDescent="0.3">
      <c r="A36" s="59">
        <f>Note!$B$2</f>
        <v>2565</v>
      </c>
      <c r="B36" s="72">
        <v>306</v>
      </c>
      <c r="C36" s="56" t="s">
        <v>41</v>
      </c>
      <c r="D36" s="10">
        <v>24040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f t="shared" si="5"/>
        <v>24040</v>
      </c>
      <c r="S36" s="10">
        <f>'306'!$S$6</f>
        <v>23450</v>
      </c>
      <c r="T36" s="73">
        <f t="shared" si="2"/>
        <v>97.545757071547413</v>
      </c>
      <c r="U36" s="74">
        <f t="shared" si="3"/>
        <v>590</v>
      </c>
    </row>
    <row r="37" spans="1:21" x14ac:dyDescent="0.3">
      <c r="A37" s="59">
        <f>Note!$B$2</f>
        <v>2565</v>
      </c>
      <c r="B37" s="72">
        <v>307</v>
      </c>
      <c r="C37" s="56" t="s">
        <v>42</v>
      </c>
      <c r="D37" s="10"/>
      <c r="E37" s="10"/>
      <c r="F37" s="10"/>
      <c r="G37" s="10">
        <f>38539+13027+12452</f>
        <v>64018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f t="shared" si="5"/>
        <v>64018</v>
      </c>
      <c r="S37" s="10">
        <f>'307'!$S$6</f>
        <v>64018</v>
      </c>
      <c r="T37" s="73">
        <f t="shared" si="2"/>
        <v>100</v>
      </c>
      <c r="U37" s="74">
        <f t="shared" si="3"/>
        <v>0</v>
      </c>
    </row>
    <row r="38" spans="1:21" x14ac:dyDescent="0.3">
      <c r="A38" s="59">
        <f>Note!$B$2</f>
        <v>2565</v>
      </c>
      <c r="B38" s="72">
        <v>308</v>
      </c>
      <c r="C38" s="56" t="s">
        <v>43</v>
      </c>
      <c r="D38" s="10"/>
      <c r="E38" s="10"/>
      <c r="F38" s="10"/>
      <c r="G38" s="10">
        <f>24758+7962+7458</f>
        <v>40178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f t="shared" si="5"/>
        <v>40178</v>
      </c>
      <c r="S38" s="10">
        <f>'308'!$S$6</f>
        <v>40178</v>
      </c>
      <c r="T38" s="73">
        <f t="shared" si="2"/>
        <v>100</v>
      </c>
      <c r="U38" s="74">
        <f t="shared" si="3"/>
        <v>0</v>
      </c>
    </row>
    <row r="39" spans="1:21" x14ac:dyDescent="0.3">
      <c r="A39" s="59">
        <f>Note!$B$2</f>
        <v>2565</v>
      </c>
      <c r="B39" s="72">
        <v>309</v>
      </c>
      <c r="C39" s="56" t="s">
        <v>44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f t="shared" si="5"/>
        <v>0</v>
      </c>
      <c r="S39" s="10">
        <f>'309'!$S$6</f>
        <v>90</v>
      </c>
      <c r="T39" s="73" t="e">
        <f t="shared" si="2"/>
        <v>#DIV/0!</v>
      </c>
      <c r="U39" s="74">
        <f t="shared" si="3"/>
        <v>-90</v>
      </c>
    </row>
    <row r="40" spans="1:21" x14ac:dyDescent="0.3">
      <c r="A40" s="59">
        <f>Note!$B$2</f>
        <v>2565</v>
      </c>
      <c r="B40" s="72">
        <v>310</v>
      </c>
      <c r="C40" s="56" t="s">
        <v>249</v>
      </c>
      <c r="D40" s="10"/>
      <c r="E40" s="10"/>
      <c r="F40" s="31">
        <f>21445.6</f>
        <v>21445.599999999999</v>
      </c>
      <c r="G40" s="10"/>
      <c r="H40" s="10"/>
      <c r="I40" s="10"/>
      <c r="J40" s="10"/>
      <c r="K40" s="10"/>
      <c r="L40" s="10"/>
      <c r="M40" s="10"/>
      <c r="N40" s="31">
        <f>4141+2464.5</f>
        <v>6605.5</v>
      </c>
      <c r="O40" s="10"/>
      <c r="P40" s="10"/>
      <c r="Q40" s="10"/>
      <c r="R40" s="10">
        <f t="shared" si="5"/>
        <v>28051.1</v>
      </c>
      <c r="S40" s="10">
        <f>'310'!$S$6</f>
        <v>28051.1</v>
      </c>
      <c r="T40" s="73">
        <f t="shared" si="2"/>
        <v>100</v>
      </c>
      <c r="U40" s="74">
        <f t="shared" si="3"/>
        <v>0</v>
      </c>
    </row>
    <row r="41" spans="1:21" x14ac:dyDescent="0.3">
      <c r="A41" s="59">
        <f>Note!$B$2</f>
        <v>2565</v>
      </c>
      <c r="B41" s="72">
        <v>311</v>
      </c>
      <c r="C41" s="56" t="s">
        <v>250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f>4000+1000+1000</f>
        <v>6000</v>
      </c>
      <c r="Q41" s="10"/>
      <c r="R41" s="10">
        <f t="shared" si="5"/>
        <v>6000</v>
      </c>
      <c r="S41" s="10">
        <f>'311'!$S$6</f>
        <v>6000</v>
      </c>
      <c r="T41" s="73">
        <f t="shared" si="2"/>
        <v>100</v>
      </c>
      <c r="U41" s="74">
        <f t="shared" si="3"/>
        <v>0</v>
      </c>
    </row>
    <row r="42" spans="1:21" x14ac:dyDescent="0.3">
      <c r="A42" s="59">
        <f>Note!$B$2</f>
        <v>2565</v>
      </c>
      <c r="B42" s="72">
        <v>312</v>
      </c>
      <c r="C42" s="56" t="s">
        <v>251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4013</v>
      </c>
      <c r="Q42" s="10"/>
      <c r="R42" s="10">
        <f t="shared" si="5"/>
        <v>4013</v>
      </c>
      <c r="S42" s="10">
        <f>'312'!$S$6</f>
        <v>4013</v>
      </c>
      <c r="T42" s="73">
        <f t="shared" si="2"/>
        <v>100</v>
      </c>
      <c r="U42" s="74">
        <f t="shared" si="3"/>
        <v>0</v>
      </c>
    </row>
    <row r="43" spans="1:21" x14ac:dyDescent="0.3">
      <c r="A43" s="59">
        <f>Note!$B$2</f>
        <v>2565</v>
      </c>
      <c r="B43" s="72">
        <v>313</v>
      </c>
      <c r="C43" s="56" t="s">
        <v>371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2352</v>
      </c>
      <c r="Q43" s="10"/>
      <c r="R43" s="10">
        <f t="shared" si="5"/>
        <v>2352</v>
      </c>
      <c r="S43" s="10">
        <f>'313'!$S$6</f>
        <v>2352</v>
      </c>
      <c r="T43" s="73">
        <f t="shared" si="2"/>
        <v>100</v>
      </c>
      <c r="U43" s="74">
        <f t="shared" si="3"/>
        <v>0</v>
      </c>
    </row>
    <row r="44" spans="1:21" x14ac:dyDescent="0.3">
      <c r="A44" s="59">
        <f>Note!$B$2</f>
        <v>2565</v>
      </c>
      <c r="B44" s="72">
        <v>314</v>
      </c>
      <c r="C44" s="56" t="s">
        <v>145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f t="shared" si="5"/>
        <v>0</v>
      </c>
      <c r="S44" s="10">
        <f>'314'!$S$6</f>
        <v>40</v>
      </c>
      <c r="T44" s="73" t="e">
        <f t="shared" si="2"/>
        <v>#DIV/0!</v>
      </c>
      <c r="U44" s="74">
        <f t="shared" si="3"/>
        <v>-40</v>
      </c>
    </row>
    <row r="45" spans="1:21" x14ac:dyDescent="0.3">
      <c r="A45" s="50" t="s">
        <v>45</v>
      </c>
      <c r="B45" s="57"/>
      <c r="C45" s="58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75"/>
      <c r="U45" s="76"/>
    </row>
    <row r="46" spans="1:21" x14ac:dyDescent="0.3">
      <c r="A46" s="59">
        <f>Note!$B$2</f>
        <v>2565</v>
      </c>
      <c r="B46" s="72">
        <v>401</v>
      </c>
      <c r="C46" s="56" t="s">
        <v>46</v>
      </c>
      <c r="D46" s="10">
        <f>35500</f>
        <v>35500</v>
      </c>
      <c r="E46" s="10">
        <v>62000</v>
      </c>
      <c r="F46" s="10">
        <v>15188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2500</v>
      </c>
      <c r="Q46" s="10"/>
      <c r="R46" s="10">
        <f t="shared" ref="R46:R62" si="6">SUM(D46:Q46)</f>
        <v>115188</v>
      </c>
      <c r="S46" s="10">
        <f>'401'!$S$6</f>
        <v>115188</v>
      </c>
      <c r="T46" s="73">
        <f t="shared" si="2"/>
        <v>100</v>
      </c>
      <c r="U46" s="74">
        <f t="shared" si="3"/>
        <v>0</v>
      </c>
    </row>
    <row r="47" spans="1:21" x14ac:dyDescent="0.3">
      <c r="A47" s="59">
        <f>Note!$B$2</f>
        <v>2565</v>
      </c>
      <c r="B47" s="72">
        <v>402</v>
      </c>
      <c r="C47" s="56" t="s">
        <v>47</v>
      </c>
      <c r="D47" s="10">
        <v>13000</v>
      </c>
      <c r="E47" s="10">
        <v>74000</v>
      </c>
      <c r="F47" s="10">
        <f>1600+1000</f>
        <v>2600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13000</v>
      </c>
      <c r="Q47" s="10"/>
      <c r="R47" s="10">
        <f t="shared" si="6"/>
        <v>102600</v>
      </c>
      <c r="S47" s="10">
        <f>'402'!$S$6</f>
        <v>102600</v>
      </c>
      <c r="T47" s="73">
        <f t="shared" si="2"/>
        <v>100</v>
      </c>
      <c r="U47" s="74">
        <f t="shared" si="3"/>
        <v>0</v>
      </c>
    </row>
    <row r="48" spans="1:21" x14ac:dyDescent="0.3">
      <c r="A48" s="59">
        <f>Note!$B$2</f>
        <v>2565</v>
      </c>
      <c r="B48" s="72">
        <v>403</v>
      </c>
      <c r="C48" s="56" t="s">
        <v>48</v>
      </c>
      <c r="D48" s="10"/>
      <c r="E48" s="10">
        <v>69710</v>
      </c>
      <c r="F48" s="10">
        <f>500</f>
        <v>500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30290</v>
      </c>
      <c r="Q48" s="10"/>
      <c r="R48" s="10">
        <f t="shared" si="6"/>
        <v>100500</v>
      </c>
      <c r="S48" s="10">
        <f>'403'!$S$6</f>
        <v>100500</v>
      </c>
      <c r="T48" s="73">
        <f t="shared" si="2"/>
        <v>100</v>
      </c>
      <c r="U48" s="74">
        <f t="shared" si="3"/>
        <v>0</v>
      </c>
    </row>
    <row r="49" spans="1:21" x14ac:dyDescent="0.3">
      <c r="A49" s="59">
        <f>Note!$B$2</f>
        <v>2565</v>
      </c>
      <c r="B49" s="72">
        <v>404</v>
      </c>
      <c r="C49" s="56" t="s">
        <v>49</v>
      </c>
      <c r="D49" s="10">
        <v>30000</v>
      </c>
      <c r="E49" s="10">
        <v>20000</v>
      </c>
      <c r="F49" s="10">
        <f>4000</f>
        <v>4000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>
        <f t="shared" si="6"/>
        <v>54000</v>
      </c>
      <c r="S49" s="10">
        <f>'404'!$S$6</f>
        <v>54000</v>
      </c>
      <c r="T49" s="73">
        <f t="shared" si="2"/>
        <v>100</v>
      </c>
      <c r="U49" s="74">
        <f t="shared" si="3"/>
        <v>0</v>
      </c>
    </row>
    <row r="50" spans="1:21" x14ac:dyDescent="0.3">
      <c r="A50" s="59">
        <f>Note!$B$2</f>
        <v>2565</v>
      </c>
      <c r="B50" s="72">
        <v>405</v>
      </c>
      <c r="C50" s="56" t="s">
        <v>50</v>
      </c>
      <c r="D50" s="10">
        <v>4942</v>
      </c>
      <c r="E50" s="10">
        <v>45058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>
        <f t="shared" si="6"/>
        <v>50000</v>
      </c>
      <c r="S50" s="10">
        <f>'405'!$S$6</f>
        <v>50000</v>
      </c>
      <c r="T50" s="73">
        <f t="shared" si="2"/>
        <v>100</v>
      </c>
      <c r="U50" s="74">
        <f t="shared" si="3"/>
        <v>0</v>
      </c>
    </row>
    <row r="51" spans="1:21" x14ac:dyDescent="0.3">
      <c r="A51" s="59">
        <f>Note!$B$2</f>
        <v>2565</v>
      </c>
      <c r="B51" s="72">
        <v>406</v>
      </c>
      <c r="C51" s="56" t="s">
        <v>338</v>
      </c>
      <c r="D51" s="10">
        <v>30000</v>
      </c>
      <c r="E51" s="10">
        <v>20000</v>
      </c>
      <c r="F51" s="10">
        <v>13500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>
        <f t="shared" si="6"/>
        <v>63500</v>
      </c>
      <c r="S51" s="10">
        <f>'406'!$S$6</f>
        <v>63500</v>
      </c>
      <c r="T51" s="73">
        <f t="shared" si="2"/>
        <v>100</v>
      </c>
      <c r="U51" s="74">
        <f t="shared" si="3"/>
        <v>0</v>
      </c>
    </row>
    <row r="52" spans="1:21" x14ac:dyDescent="0.3">
      <c r="A52" s="59">
        <f>Note!$B$2</f>
        <v>2565</v>
      </c>
      <c r="B52" s="72">
        <v>407</v>
      </c>
      <c r="C52" s="56" t="s">
        <v>52</v>
      </c>
      <c r="D52" s="10">
        <v>62605</v>
      </c>
      <c r="E52" s="10"/>
      <c r="F52" s="10">
        <f>4930</f>
        <v>4930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7395</v>
      </c>
      <c r="Q52" s="10"/>
      <c r="R52" s="10">
        <f t="shared" si="6"/>
        <v>74930</v>
      </c>
      <c r="S52" s="10">
        <f>'407'!$S$6</f>
        <v>74930</v>
      </c>
      <c r="T52" s="73">
        <f t="shared" si="2"/>
        <v>100</v>
      </c>
      <c r="U52" s="74">
        <f t="shared" si="3"/>
        <v>0</v>
      </c>
    </row>
    <row r="53" spans="1:21" x14ac:dyDescent="0.3">
      <c r="A53" s="59">
        <f>Note!$B$2</f>
        <v>2565</v>
      </c>
      <c r="B53" s="72">
        <v>408</v>
      </c>
      <c r="C53" s="56" t="s">
        <v>53</v>
      </c>
      <c r="D53" s="10"/>
      <c r="E53" s="10">
        <v>20000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f>20000+30000</f>
        <v>50000</v>
      </c>
      <c r="Q53" s="10"/>
      <c r="R53" s="10">
        <f t="shared" si="6"/>
        <v>70000</v>
      </c>
      <c r="S53" s="10">
        <f>'408'!$S$6</f>
        <v>50000</v>
      </c>
      <c r="T53" s="73">
        <f t="shared" si="2"/>
        <v>71.428571428571431</v>
      </c>
      <c r="U53" s="74">
        <f t="shared" si="3"/>
        <v>20000</v>
      </c>
    </row>
    <row r="54" spans="1:21" x14ac:dyDescent="0.3">
      <c r="A54" s="59">
        <f>Note!$B$2</f>
        <v>2565</v>
      </c>
      <c r="B54" s="72">
        <v>409</v>
      </c>
      <c r="C54" s="56" t="s">
        <v>54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>
        <f>3000</f>
        <v>3000</v>
      </c>
      <c r="O54" s="10"/>
      <c r="P54" s="10"/>
      <c r="Q54" s="10"/>
      <c r="R54" s="10">
        <f t="shared" si="6"/>
        <v>3000</v>
      </c>
      <c r="S54" s="10">
        <f>'409'!$S$6</f>
        <v>3000</v>
      </c>
      <c r="T54" s="73">
        <f t="shared" si="2"/>
        <v>100</v>
      </c>
      <c r="U54" s="74">
        <f t="shared" si="3"/>
        <v>0</v>
      </c>
    </row>
    <row r="55" spans="1:21" x14ac:dyDescent="0.3">
      <c r="A55" s="59">
        <f>Note!$B$2</f>
        <v>2565</v>
      </c>
      <c r="B55" s="72">
        <v>410</v>
      </c>
      <c r="C55" s="56" t="s">
        <v>55</v>
      </c>
      <c r="D55" s="10"/>
      <c r="E55" s="10"/>
      <c r="F55" s="10">
        <v>8300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77400</v>
      </c>
      <c r="Q55" s="10"/>
      <c r="R55" s="10">
        <f t="shared" si="6"/>
        <v>85700</v>
      </c>
      <c r="S55" s="10">
        <f>'410'!$S$6</f>
        <v>85700</v>
      </c>
      <c r="T55" s="73">
        <f t="shared" si="2"/>
        <v>99.999999999999986</v>
      </c>
      <c r="U55" s="74">
        <f t="shared" si="3"/>
        <v>0</v>
      </c>
    </row>
    <row r="56" spans="1:21" x14ac:dyDescent="0.3">
      <c r="A56" s="59">
        <f>Note!$B$2</f>
        <v>2565</v>
      </c>
      <c r="B56" s="72">
        <v>411</v>
      </c>
      <c r="C56" s="56" t="s">
        <v>56</v>
      </c>
      <c r="D56" s="10"/>
      <c r="E56" s="10"/>
      <c r="F56" s="10">
        <v>1350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>
        <f t="shared" si="6"/>
        <v>1350</v>
      </c>
      <c r="S56" s="10">
        <f>'411'!$S$6</f>
        <v>1350</v>
      </c>
      <c r="T56" s="73">
        <f t="shared" si="2"/>
        <v>100</v>
      </c>
      <c r="U56" s="74">
        <f t="shared" si="3"/>
        <v>0</v>
      </c>
    </row>
    <row r="57" spans="1:21" x14ac:dyDescent="0.3">
      <c r="A57" s="59">
        <f>Note!$B$2</f>
        <v>2565</v>
      </c>
      <c r="B57" s="72">
        <v>412</v>
      </c>
      <c r="C57" s="56" t="s">
        <v>57</v>
      </c>
      <c r="D57" s="10"/>
      <c r="E57" s="10"/>
      <c r="F57" s="10">
        <f>300+1500+1500+2145</f>
        <v>5445</v>
      </c>
      <c r="G57" s="10">
        <v>900</v>
      </c>
      <c r="H57" s="10"/>
      <c r="I57" s="10"/>
      <c r="J57" s="10"/>
      <c r="K57" s="10"/>
      <c r="L57" s="10"/>
      <c r="M57" s="10"/>
      <c r="N57" s="10"/>
      <c r="O57" s="10"/>
      <c r="P57" s="10">
        <f>37200+7050+5150</f>
        <v>49400</v>
      </c>
      <c r="Q57" s="10"/>
      <c r="R57" s="10">
        <f t="shared" si="6"/>
        <v>55745</v>
      </c>
      <c r="S57" s="10">
        <f>'412'!$S$6</f>
        <v>55745</v>
      </c>
      <c r="T57" s="73">
        <f t="shared" si="2"/>
        <v>100</v>
      </c>
      <c r="U57" s="74">
        <f t="shared" si="3"/>
        <v>0</v>
      </c>
    </row>
    <row r="58" spans="1:21" x14ac:dyDescent="0.3">
      <c r="A58" s="59">
        <f>Note!$B$2</f>
        <v>2565</v>
      </c>
      <c r="B58" s="72">
        <v>413</v>
      </c>
      <c r="C58" s="56" t="s">
        <v>141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>
        <f t="shared" si="6"/>
        <v>0</v>
      </c>
      <c r="S58" s="10">
        <f>'413'!$S$6</f>
        <v>30</v>
      </c>
      <c r="T58" s="73" t="e">
        <f t="shared" si="2"/>
        <v>#DIV/0!</v>
      </c>
      <c r="U58" s="74">
        <f t="shared" si="3"/>
        <v>-30</v>
      </c>
    </row>
    <row r="59" spans="1:21" x14ac:dyDescent="0.3">
      <c r="A59" s="59">
        <f>Note!$B$2</f>
        <v>2565</v>
      </c>
      <c r="B59" s="72">
        <v>414</v>
      </c>
      <c r="C59" s="56" t="s">
        <v>142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f t="shared" si="6"/>
        <v>0</v>
      </c>
      <c r="S59" s="10">
        <f>'414'!$S$6</f>
        <v>40</v>
      </c>
      <c r="T59" s="73" t="e">
        <f t="shared" si="2"/>
        <v>#DIV/0!</v>
      </c>
      <c r="U59" s="74">
        <f t="shared" si="3"/>
        <v>-40</v>
      </c>
    </row>
    <row r="60" spans="1:21" x14ac:dyDescent="0.3">
      <c r="A60" s="59">
        <f>Note!$B$2</f>
        <v>2565</v>
      </c>
      <c r="B60" s="72">
        <v>415</v>
      </c>
      <c r="C60" s="56" t="s">
        <v>143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>
        <f t="shared" si="6"/>
        <v>0</v>
      </c>
      <c r="S60" s="10">
        <f>'415'!$S$6</f>
        <v>50</v>
      </c>
      <c r="T60" s="73" t="e">
        <f t="shared" si="2"/>
        <v>#DIV/0!</v>
      </c>
      <c r="U60" s="74">
        <f t="shared" si="3"/>
        <v>-50</v>
      </c>
    </row>
    <row r="61" spans="1:21" x14ac:dyDescent="0.3">
      <c r="A61" s="59">
        <f>Note!$B$2</f>
        <v>2565</v>
      </c>
      <c r="B61" s="72">
        <v>416</v>
      </c>
      <c r="C61" s="56" t="s">
        <v>144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f t="shared" si="6"/>
        <v>0</v>
      </c>
      <c r="S61" s="10">
        <f>'416'!$S$6</f>
        <v>60</v>
      </c>
      <c r="T61" s="73" t="e">
        <f t="shared" si="2"/>
        <v>#DIV/0!</v>
      </c>
      <c r="U61" s="74">
        <f t="shared" si="3"/>
        <v>-60</v>
      </c>
    </row>
    <row r="62" spans="1:21" x14ac:dyDescent="0.3">
      <c r="A62" s="59">
        <f>Note!$B$2</f>
        <v>2565</v>
      </c>
      <c r="B62" s="72">
        <v>417</v>
      </c>
      <c r="C62" s="56" t="s">
        <v>146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f t="shared" si="6"/>
        <v>0</v>
      </c>
      <c r="S62" s="10">
        <f>'417'!$S$6</f>
        <v>70</v>
      </c>
      <c r="T62" s="73" t="e">
        <f t="shared" si="2"/>
        <v>#DIV/0!</v>
      </c>
      <c r="U62" s="74">
        <f t="shared" si="3"/>
        <v>-70</v>
      </c>
    </row>
    <row r="63" spans="1:21" x14ac:dyDescent="0.3">
      <c r="A63" s="50" t="s">
        <v>58</v>
      </c>
      <c r="B63" s="57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75"/>
      <c r="U63" s="76"/>
    </row>
    <row r="64" spans="1:21" x14ac:dyDescent="0.3">
      <c r="A64" s="59">
        <f>Note!$B$2</f>
        <v>2565</v>
      </c>
      <c r="B64" s="72">
        <v>501</v>
      </c>
      <c r="C64" s="56" t="s">
        <v>59</v>
      </c>
      <c r="D64" s="10">
        <v>125109.46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31">
        <f>936.26+344.55</f>
        <v>1280.81</v>
      </c>
      <c r="P64" s="10"/>
      <c r="Q64" s="10"/>
      <c r="R64" s="10">
        <f t="shared" ref="R64:R71" si="7">SUM(D64:Q64)</f>
        <v>126390.27</v>
      </c>
      <c r="S64" s="10">
        <f>'501'!$S$6</f>
        <v>126390.27</v>
      </c>
      <c r="T64" s="73">
        <f t="shared" si="2"/>
        <v>100</v>
      </c>
      <c r="U64" s="74">
        <f t="shared" si="3"/>
        <v>0</v>
      </c>
    </row>
    <row r="65" spans="1:21" x14ac:dyDescent="0.3">
      <c r="A65" s="59">
        <f>Note!$B$2</f>
        <v>2565</v>
      </c>
      <c r="B65" s="72">
        <v>502</v>
      </c>
      <c r="C65" s="56" t="s">
        <v>60</v>
      </c>
      <c r="D65" s="10">
        <v>81141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31">
        <f>612.46+364.65</f>
        <v>977.11</v>
      </c>
      <c r="P65" s="10"/>
      <c r="Q65" s="10"/>
      <c r="R65" s="10">
        <f t="shared" si="7"/>
        <v>82118.11</v>
      </c>
      <c r="S65" s="10">
        <f>'502'!$S$6</f>
        <v>82118.159999999989</v>
      </c>
      <c r="T65" s="73">
        <f t="shared" si="2"/>
        <v>100.00006088790887</v>
      </c>
      <c r="U65" s="74">
        <f t="shared" si="3"/>
        <v>-4.9999999988358468E-2</v>
      </c>
    </row>
    <row r="66" spans="1:21" x14ac:dyDescent="0.3">
      <c r="A66" s="59">
        <f>Note!$B$2</f>
        <v>2565</v>
      </c>
      <c r="B66" s="72">
        <v>503</v>
      </c>
      <c r="C66" s="56" t="s">
        <v>61</v>
      </c>
      <c r="D66" s="31">
        <f>3941.72+1384.05</f>
        <v>5325.7699999999995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73">
        <v>1379.98</v>
      </c>
      <c r="Q66" s="10"/>
      <c r="R66" s="10">
        <f t="shared" si="7"/>
        <v>6705.75</v>
      </c>
      <c r="S66" s="10">
        <f>'503'!$S$6</f>
        <v>6705.75</v>
      </c>
      <c r="T66" s="73">
        <f t="shared" si="2"/>
        <v>100</v>
      </c>
      <c r="U66" s="74">
        <f t="shared" si="3"/>
        <v>0</v>
      </c>
    </row>
    <row r="67" spans="1:21" x14ac:dyDescent="0.3">
      <c r="A67" s="59">
        <f>Note!$B$2</f>
        <v>2565</v>
      </c>
      <c r="B67" s="72">
        <v>504</v>
      </c>
      <c r="C67" s="56" t="s">
        <v>62</v>
      </c>
      <c r="D67" s="10">
        <f>5094+1618</f>
        <v>6712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1007</v>
      </c>
      <c r="Q67" s="10"/>
      <c r="R67" s="10">
        <f t="shared" si="7"/>
        <v>7719</v>
      </c>
      <c r="S67" s="10">
        <f>'504'!$S$6</f>
        <v>7719</v>
      </c>
      <c r="T67" s="73">
        <f t="shared" si="2"/>
        <v>100</v>
      </c>
      <c r="U67" s="74">
        <f t="shared" si="3"/>
        <v>0</v>
      </c>
    </row>
    <row r="68" spans="1:21" x14ac:dyDescent="0.3">
      <c r="A68" s="59">
        <f>Note!$B$2</f>
        <v>2565</v>
      </c>
      <c r="B68" s="72">
        <v>505</v>
      </c>
      <c r="C68" s="56" t="s">
        <v>63</v>
      </c>
      <c r="D68" s="10">
        <f>16371+5457</f>
        <v>21828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>
        <f t="shared" si="7"/>
        <v>21828</v>
      </c>
      <c r="S68" s="10">
        <f>'505'!$S$6</f>
        <v>21828</v>
      </c>
      <c r="T68" s="73">
        <f t="shared" si="2"/>
        <v>100.00000000000001</v>
      </c>
      <c r="U68" s="74">
        <f t="shared" si="3"/>
        <v>0</v>
      </c>
    </row>
    <row r="69" spans="1:21" x14ac:dyDescent="0.3">
      <c r="A69" s="59">
        <f>Note!$B$2</f>
        <v>2565</v>
      </c>
      <c r="B69" s="72">
        <v>506</v>
      </c>
      <c r="C69" s="56" t="s">
        <v>141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f t="shared" si="7"/>
        <v>0</v>
      </c>
      <c r="S69" s="10">
        <f>'506'!$S$6</f>
        <v>60</v>
      </c>
      <c r="T69" s="73" t="e">
        <f t="shared" si="2"/>
        <v>#DIV/0!</v>
      </c>
      <c r="U69" s="74">
        <f t="shared" si="3"/>
        <v>-60</v>
      </c>
    </row>
    <row r="70" spans="1:21" x14ac:dyDescent="0.3">
      <c r="A70" s="59">
        <f>Note!$B$2</f>
        <v>2565</v>
      </c>
      <c r="B70" s="72">
        <v>507</v>
      </c>
      <c r="C70" s="56" t="s">
        <v>142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f t="shared" si="7"/>
        <v>0</v>
      </c>
      <c r="S70" s="10">
        <f>'507'!$S$6</f>
        <v>70</v>
      </c>
      <c r="T70" s="73" t="e">
        <f t="shared" si="2"/>
        <v>#DIV/0!</v>
      </c>
      <c r="U70" s="74">
        <f t="shared" si="3"/>
        <v>-70</v>
      </c>
    </row>
    <row r="71" spans="1:21" x14ac:dyDescent="0.3">
      <c r="A71" s="59">
        <f>Note!$B$2</f>
        <v>2565</v>
      </c>
      <c r="B71" s="72">
        <v>508</v>
      </c>
      <c r="C71" s="56" t="s">
        <v>143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>
        <f t="shared" si="7"/>
        <v>0</v>
      </c>
      <c r="S71" s="10">
        <f>'508'!$S$6</f>
        <v>80</v>
      </c>
      <c r="T71" s="73" t="e">
        <f t="shared" si="2"/>
        <v>#DIV/0!</v>
      </c>
      <c r="U71" s="74">
        <f t="shared" si="3"/>
        <v>-80</v>
      </c>
    </row>
    <row r="72" spans="1:21" x14ac:dyDescent="0.3">
      <c r="A72" s="50" t="s">
        <v>82</v>
      </c>
      <c r="B72" s="57"/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75"/>
      <c r="U72" s="76"/>
    </row>
    <row r="73" spans="1:21" x14ac:dyDescent="0.3">
      <c r="A73" s="59">
        <f>Note!$B$2</f>
        <v>2565</v>
      </c>
      <c r="B73" s="72">
        <v>601</v>
      </c>
      <c r="C73" s="56" t="s">
        <v>83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>
        <f t="shared" ref="R73:R82" si="8">SUM(D73:Q73)</f>
        <v>0</v>
      </c>
      <c r="S73" s="10">
        <f>'601'!$S$6</f>
        <v>10</v>
      </c>
      <c r="T73" s="73" t="e">
        <f t="shared" si="2"/>
        <v>#DIV/0!</v>
      </c>
      <c r="U73" s="74">
        <f t="shared" si="3"/>
        <v>-10</v>
      </c>
    </row>
    <row r="74" spans="1:21" x14ac:dyDescent="0.3">
      <c r="A74" s="59">
        <f>Note!$B$2</f>
        <v>2565</v>
      </c>
      <c r="B74" s="72">
        <v>602</v>
      </c>
      <c r="C74" s="56" t="s">
        <v>84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>
        <f t="shared" si="8"/>
        <v>0</v>
      </c>
      <c r="S74" s="10">
        <f>'602'!$S$6</f>
        <v>15</v>
      </c>
      <c r="T74" s="73" t="e">
        <f t="shared" si="2"/>
        <v>#DIV/0!</v>
      </c>
      <c r="U74" s="74">
        <f t="shared" si="3"/>
        <v>-15</v>
      </c>
    </row>
    <row r="75" spans="1:21" x14ac:dyDescent="0.3">
      <c r="A75" s="59">
        <f>Note!$B$2</f>
        <v>2565</v>
      </c>
      <c r="B75" s="72">
        <v>603</v>
      </c>
      <c r="C75" s="56" t="s">
        <v>85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>
        <f t="shared" si="8"/>
        <v>0</v>
      </c>
      <c r="S75" s="10">
        <f>'603'!$S$6</f>
        <v>20</v>
      </c>
      <c r="T75" s="73" t="e">
        <f t="shared" ref="T75:T120" si="9">(100/R75)*S75</f>
        <v>#DIV/0!</v>
      </c>
      <c r="U75" s="74">
        <f t="shared" ref="U75:U120" si="10">R75-S75</f>
        <v>-20</v>
      </c>
    </row>
    <row r="76" spans="1:21" x14ac:dyDescent="0.3">
      <c r="A76" s="59">
        <f>Note!$B$2</f>
        <v>2565</v>
      </c>
      <c r="B76" s="72">
        <v>604</v>
      </c>
      <c r="C76" s="56" t="s">
        <v>64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>
        <f t="shared" si="8"/>
        <v>0</v>
      </c>
      <c r="S76" s="10">
        <f>'604'!$S$6</f>
        <v>25</v>
      </c>
      <c r="T76" s="73" t="e">
        <f t="shared" si="9"/>
        <v>#DIV/0!</v>
      </c>
      <c r="U76" s="74">
        <f t="shared" si="10"/>
        <v>-25</v>
      </c>
    </row>
    <row r="77" spans="1:21" x14ac:dyDescent="0.3">
      <c r="A77" s="59">
        <f>Note!$B$2</f>
        <v>2565</v>
      </c>
      <c r="B77" s="72">
        <v>605</v>
      </c>
      <c r="C77" s="56" t="s">
        <v>256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>
        <f t="shared" si="8"/>
        <v>0</v>
      </c>
      <c r="S77" s="10">
        <f>'605'!$S$6</f>
        <v>30</v>
      </c>
      <c r="T77" s="73" t="e">
        <f t="shared" si="9"/>
        <v>#DIV/0!</v>
      </c>
      <c r="U77" s="74">
        <f t="shared" si="10"/>
        <v>-30</v>
      </c>
    </row>
    <row r="78" spans="1:21" x14ac:dyDescent="0.3">
      <c r="A78" s="59">
        <f>Note!$B$2</f>
        <v>2565</v>
      </c>
      <c r="B78" s="72">
        <v>606</v>
      </c>
      <c r="C78" s="56" t="s">
        <v>252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>
        <f t="shared" si="8"/>
        <v>0</v>
      </c>
      <c r="S78" s="10">
        <f>'606'!$S$6</f>
        <v>35</v>
      </c>
      <c r="T78" s="73" t="e">
        <f t="shared" si="9"/>
        <v>#DIV/0!</v>
      </c>
      <c r="U78" s="74">
        <f t="shared" si="10"/>
        <v>-35</v>
      </c>
    </row>
    <row r="79" spans="1:21" x14ac:dyDescent="0.3">
      <c r="A79" s="59">
        <f>Note!$B$2</f>
        <v>2565</v>
      </c>
      <c r="B79" s="72">
        <v>607</v>
      </c>
      <c r="C79" s="56" t="s">
        <v>253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>
        <f t="shared" si="8"/>
        <v>0</v>
      </c>
      <c r="S79" s="10">
        <f>'607'!$S$6</f>
        <v>40</v>
      </c>
      <c r="T79" s="73" t="e">
        <f t="shared" si="9"/>
        <v>#DIV/0!</v>
      </c>
      <c r="U79" s="74">
        <f t="shared" si="10"/>
        <v>-40</v>
      </c>
    </row>
    <row r="80" spans="1:21" x14ac:dyDescent="0.3">
      <c r="A80" s="59">
        <f>Note!$B$2</f>
        <v>2565</v>
      </c>
      <c r="B80" s="72">
        <v>608</v>
      </c>
      <c r="C80" s="56" t="s">
        <v>254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>
        <f t="shared" si="8"/>
        <v>0</v>
      </c>
      <c r="S80" s="10">
        <f>'608'!$S$6</f>
        <v>45</v>
      </c>
      <c r="T80" s="73" t="e">
        <f t="shared" si="9"/>
        <v>#DIV/0!</v>
      </c>
      <c r="U80" s="74">
        <f t="shared" si="10"/>
        <v>-45</v>
      </c>
    </row>
    <row r="81" spans="1:21" x14ac:dyDescent="0.3">
      <c r="A81" s="59">
        <f>Note!$B$2</f>
        <v>2565</v>
      </c>
      <c r="B81" s="72">
        <v>609</v>
      </c>
      <c r="C81" s="56" t="s">
        <v>255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>
        <f t="shared" si="8"/>
        <v>0</v>
      </c>
      <c r="S81" s="10">
        <f>'609'!$S$6</f>
        <v>50</v>
      </c>
      <c r="T81" s="73" t="e">
        <f t="shared" si="9"/>
        <v>#DIV/0!</v>
      </c>
      <c r="U81" s="74">
        <f t="shared" si="10"/>
        <v>-50</v>
      </c>
    </row>
    <row r="82" spans="1:21" x14ac:dyDescent="0.3">
      <c r="A82" s="59">
        <f>Note!$B$2</f>
        <v>2565</v>
      </c>
      <c r="B82" s="72">
        <v>610</v>
      </c>
      <c r="C82" s="56" t="s">
        <v>257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1180</v>
      </c>
      <c r="Q82" s="10"/>
      <c r="R82" s="10">
        <f t="shared" si="8"/>
        <v>1180</v>
      </c>
      <c r="S82" s="10">
        <f>'610'!$S$6</f>
        <v>1180</v>
      </c>
      <c r="T82" s="73">
        <f t="shared" si="9"/>
        <v>100</v>
      </c>
      <c r="U82" s="74">
        <f t="shared" si="10"/>
        <v>0</v>
      </c>
    </row>
    <row r="83" spans="1:21" x14ac:dyDescent="0.3">
      <c r="A83" s="50" t="s">
        <v>66</v>
      </c>
      <c r="B83" s="57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75"/>
      <c r="U83" s="76"/>
    </row>
    <row r="84" spans="1:21" x14ac:dyDescent="0.3">
      <c r="A84" s="59">
        <f>Note!$B$2</f>
        <v>2565</v>
      </c>
      <c r="B84" s="72">
        <v>701</v>
      </c>
      <c r="C84" s="56" t="s">
        <v>214</v>
      </c>
      <c r="D84" s="10">
        <v>1500000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>
        <f>SUM(D84:Q84)</f>
        <v>1500000</v>
      </c>
      <c r="S84" s="10">
        <f>'701'!$S$6</f>
        <v>1328600</v>
      </c>
      <c r="T84" s="73">
        <f t="shared" si="9"/>
        <v>88.573333333333338</v>
      </c>
      <c r="U84" s="74">
        <f t="shared" si="10"/>
        <v>171400</v>
      </c>
    </row>
    <row r="85" spans="1:21" x14ac:dyDescent="0.3">
      <c r="A85" s="59">
        <f>Note!$B$2</f>
        <v>2565</v>
      </c>
      <c r="B85" s="72">
        <v>702</v>
      </c>
      <c r="C85" s="56" t="s">
        <v>181</v>
      </c>
      <c r="D85" s="10">
        <v>2000000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>
        <f>SUM(D85:Q85)</f>
        <v>2000000</v>
      </c>
      <c r="S85" s="10">
        <f>'702'!$S$6</f>
        <v>10</v>
      </c>
      <c r="T85" s="73">
        <f t="shared" si="9"/>
        <v>5.0000000000000001E-4</v>
      </c>
      <c r="U85" s="74">
        <f t="shared" si="10"/>
        <v>1999990</v>
      </c>
    </row>
    <row r="86" spans="1:21" x14ac:dyDescent="0.3">
      <c r="A86" s="59">
        <f>Note!$B$2</f>
        <v>2565</v>
      </c>
      <c r="B86" s="72">
        <v>703</v>
      </c>
      <c r="C86" s="56" t="s">
        <v>219</v>
      </c>
      <c r="D86" s="10">
        <v>5660700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>
        <f>SUM(D86:Q86)</f>
        <v>5660700</v>
      </c>
      <c r="S86" s="10">
        <f>'703'!$S$6</f>
        <v>2547000</v>
      </c>
      <c r="T86" s="73">
        <f t="shared" si="9"/>
        <v>44.99443531718692</v>
      </c>
      <c r="U86" s="74">
        <f t="shared" si="10"/>
        <v>3113700</v>
      </c>
    </row>
    <row r="87" spans="1:21" x14ac:dyDescent="0.3">
      <c r="A87" s="59">
        <f>Note!$B$2</f>
        <v>2565</v>
      </c>
      <c r="B87" s="72">
        <v>704</v>
      </c>
      <c r="C87" s="56" t="s">
        <v>144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>
        <f>SUM(D87:Q87)</f>
        <v>0</v>
      </c>
      <c r="S87" s="10">
        <f>'704'!$S$6</f>
        <v>20</v>
      </c>
      <c r="T87" s="73" t="e">
        <f t="shared" si="9"/>
        <v>#DIV/0!</v>
      </c>
      <c r="U87" s="74">
        <f t="shared" si="10"/>
        <v>-20</v>
      </c>
    </row>
    <row r="88" spans="1:21" x14ac:dyDescent="0.3">
      <c r="A88" s="59">
        <f>Note!$B$2</f>
        <v>2565</v>
      </c>
      <c r="B88" s="72">
        <v>705</v>
      </c>
      <c r="C88" s="56" t="s">
        <v>145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>
        <f>SUM(D88:Q88)</f>
        <v>0</v>
      </c>
      <c r="S88" s="10">
        <f>'705'!$S$6</f>
        <v>25</v>
      </c>
      <c r="T88" s="73" t="e">
        <f t="shared" si="9"/>
        <v>#DIV/0!</v>
      </c>
      <c r="U88" s="74">
        <f t="shared" si="10"/>
        <v>-25</v>
      </c>
    </row>
    <row r="89" spans="1:21" x14ac:dyDescent="0.3">
      <c r="A89" s="61" t="s">
        <v>86</v>
      </c>
      <c r="B89" s="51"/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75"/>
      <c r="U89" s="76"/>
    </row>
    <row r="90" spans="1:21" x14ac:dyDescent="0.3">
      <c r="A90" s="53">
        <f>Note!$B$2</f>
        <v>2565</v>
      </c>
      <c r="B90" s="72">
        <v>801</v>
      </c>
      <c r="C90" s="55" t="s">
        <v>67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f t="shared" ref="R90:R99" si="11">SUM(D90:Q90)</f>
        <v>0</v>
      </c>
      <c r="S90" s="10">
        <f>'801'!$S$6</f>
        <v>0</v>
      </c>
      <c r="T90" s="73" t="e">
        <f t="shared" si="9"/>
        <v>#DIV/0!</v>
      </c>
      <c r="U90" s="74">
        <f t="shared" si="10"/>
        <v>0</v>
      </c>
    </row>
    <row r="91" spans="1:21" x14ac:dyDescent="0.3">
      <c r="A91" s="53">
        <f>Note!$B$2</f>
        <v>2565</v>
      </c>
      <c r="B91" s="72">
        <v>802</v>
      </c>
      <c r="C91" s="56" t="s">
        <v>68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>
        <f t="shared" si="11"/>
        <v>0</v>
      </c>
      <c r="S91" s="10">
        <f>'802'!$S$6</f>
        <v>0</v>
      </c>
      <c r="T91" s="73" t="e">
        <f t="shared" si="9"/>
        <v>#DIV/0!</v>
      </c>
      <c r="U91" s="74">
        <f t="shared" si="10"/>
        <v>0</v>
      </c>
    </row>
    <row r="92" spans="1:21" x14ac:dyDescent="0.3">
      <c r="A92" s="53">
        <f>Note!$B$2</f>
        <v>2565</v>
      </c>
      <c r="B92" s="72">
        <v>803</v>
      </c>
      <c r="C92" s="56" t="s">
        <v>69</v>
      </c>
      <c r="D92" s="10"/>
      <c r="E92" s="10"/>
      <c r="F92" s="10"/>
      <c r="G92" s="10"/>
      <c r="H92" s="10"/>
      <c r="I92" s="10"/>
      <c r="J92" s="10"/>
      <c r="K92" s="10">
        <v>135240</v>
      </c>
      <c r="L92" s="10"/>
      <c r="M92" s="10"/>
      <c r="N92" s="10"/>
      <c r="O92" s="10"/>
      <c r="P92" s="10"/>
      <c r="Q92" s="10"/>
      <c r="R92" s="10">
        <f t="shared" si="11"/>
        <v>135240</v>
      </c>
      <c r="S92" s="10">
        <f>'803'!$S$6</f>
        <v>135240</v>
      </c>
      <c r="T92" s="73">
        <f t="shared" si="9"/>
        <v>100</v>
      </c>
      <c r="U92" s="74">
        <f t="shared" si="10"/>
        <v>0</v>
      </c>
    </row>
    <row r="93" spans="1:21" x14ac:dyDescent="0.3">
      <c r="A93" s="53">
        <f>Note!$B$2</f>
        <v>2565</v>
      </c>
      <c r="B93" s="72">
        <v>804</v>
      </c>
      <c r="C93" s="56" t="s">
        <v>70</v>
      </c>
      <c r="D93" s="10"/>
      <c r="E93" s="10"/>
      <c r="F93" s="10"/>
      <c r="G93" s="10"/>
      <c r="H93" s="10"/>
      <c r="I93" s="10"/>
      <c r="J93" s="10">
        <f>69520</f>
        <v>69520</v>
      </c>
      <c r="K93" s="10"/>
      <c r="L93" s="10"/>
      <c r="M93" s="10"/>
      <c r="N93" s="10"/>
      <c r="O93" s="10"/>
      <c r="P93" s="10"/>
      <c r="Q93" s="10"/>
      <c r="R93" s="10">
        <f t="shared" si="11"/>
        <v>69520</v>
      </c>
      <c r="S93" s="10">
        <f>'804'!$S$6</f>
        <v>69520</v>
      </c>
      <c r="T93" s="73">
        <f t="shared" si="9"/>
        <v>100</v>
      </c>
      <c r="U93" s="74">
        <f t="shared" si="10"/>
        <v>0</v>
      </c>
    </row>
    <row r="94" spans="1:21" x14ac:dyDescent="0.3">
      <c r="A94" s="53">
        <f>Note!$B$2</f>
        <v>2565</v>
      </c>
      <c r="B94" s="72">
        <v>805</v>
      </c>
      <c r="C94" s="56" t="s">
        <v>71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>
        <f t="shared" si="11"/>
        <v>0</v>
      </c>
      <c r="S94" s="10">
        <f>'805'!$S$6</f>
        <v>0</v>
      </c>
      <c r="T94" s="73" t="e">
        <f t="shared" si="9"/>
        <v>#DIV/0!</v>
      </c>
      <c r="U94" s="74">
        <f t="shared" si="10"/>
        <v>0</v>
      </c>
    </row>
    <row r="95" spans="1:21" x14ac:dyDescent="0.3">
      <c r="A95" s="53">
        <f>Note!$B$2</f>
        <v>2565</v>
      </c>
      <c r="B95" s="72">
        <v>806</v>
      </c>
      <c r="C95" s="56" t="s">
        <v>184</v>
      </c>
      <c r="D95" s="10"/>
      <c r="E95" s="10"/>
      <c r="F95" s="10"/>
      <c r="G95" s="10">
        <f>15816</f>
        <v>15816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>
        <f t="shared" si="11"/>
        <v>15816</v>
      </c>
      <c r="S95" s="10">
        <f>'806'!$S$6</f>
        <v>15816</v>
      </c>
      <c r="T95" s="73">
        <f t="shared" si="9"/>
        <v>100</v>
      </c>
      <c r="U95" s="74">
        <f t="shared" si="10"/>
        <v>0</v>
      </c>
    </row>
    <row r="96" spans="1:21" x14ac:dyDescent="0.3">
      <c r="A96" s="53">
        <f>Note!$B$2</f>
        <v>2565</v>
      </c>
      <c r="B96" s="72">
        <v>807</v>
      </c>
      <c r="C96" s="56" t="s">
        <v>142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>
        <f t="shared" si="11"/>
        <v>0</v>
      </c>
      <c r="S96" s="10">
        <f>'807'!$S$6</f>
        <v>35</v>
      </c>
      <c r="T96" s="73" t="e">
        <f t="shared" si="9"/>
        <v>#DIV/0!</v>
      </c>
      <c r="U96" s="74">
        <f t="shared" si="10"/>
        <v>-35</v>
      </c>
    </row>
    <row r="97" spans="1:21" x14ac:dyDescent="0.3">
      <c r="A97" s="53">
        <f>Note!$B$2</f>
        <v>2565</v>
      </c>
      <c r="B97" s="72">
        <v>808</v>
      </c>
      <c r="C97" s="56" t="s">
        <v>143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f t="shared" si="11"/>
        <v>0</v>
      </c>
      <c r="S97" s="10">
        <f>'808'!$S$6</f>
        <v>40</v>
      </c>
      <c r="T97" s="73" t="e">
        <f t="shared" si="9"/>
        <v>#DIV/0!</v>
      </c>
      <c r="U97" s="74">
        <f t="shared" si="10"/>
        <v>-40</v>
      </c>
    </row>
    <row r="98" spans="1:21" x14ac:dyDescent="0.3">
      <c r="A98" s="53">
        <f>Note!$B$2</f>
        <v>2565</v>
      </c>
      <c r="B98" s="72">
        <v>809</v>
      </c>
      <c r="C98" s="56" t="s">
        <v>144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>
        <f t="shared" si="11"/>
        <v>0</v>
      </c>
      <c r="S98" s="10">
        <f>'809'!$S$6</f>
        <v>25</v>
      </c>
      <c r="T98" s="73" t="e">
        <f t="shared" si="9"/>
        <v>#DIV/0!</v>
      </c>
      <c r="U98" s="74">
        <f t="shared" si="10"/>
        <v>-25</v>
      </c>
    </row>
    <row r="99" spans="1:21" x14ac:dyDescent="0.3">
      <c r="A99" s="53">
        <f>Note!$B$2</f>
        <v>2565</v>
      </c>
      <c r="B99" s="72">
        <v>810</v>
      </c>
      <c r="C99" s="56" t="s">
        <v>145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>
        <f t="shared" si="11"/>
        <v>0</v>
      </c>
      <c r="S99" s="10">
        <f>'810'!$S$6</f>
        <v>50</v>
      </c>
      <c r="T99" s="73" t="e">
        <f t="shared" si="9"/>
        <v>#DIV/0!</v>
      </c>
      <c r="U99" s="74">
        <f t="shared" si="10"/>
        <v>-50</v>
      </c>
    </row>
    <row r="100" spans="1:21" x14ac:dyDescent="0.3">
      <c r="A100" s="61" t="s">
        <v>87</v>
      </c>
      <c r="B100" s="57"/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75"/>
      <c r="U100" s="76"/>
    </row>
    <row r="101" spans="1:21" x14ac:dyDescent="0.3">
      <c r="A101" s="59">
        <f>Note!$B$2</f>
        <v>2565</v>
      </c>
      <c r="B101" s="72">
        <v>901</v>
      </c>
      <c r="C101" s="56" t="s">
        <v>72</v>
      </c>
      <c r="D101" s="4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f t="shared" ref="R101:R120" si="12">SUM(D101:Q101)</f>
        <v>0</v>
      </c>
      <c r="S101" s="10">
        <f>'901'!$S$6</f>
        <v>1</v>
      </c>
      <c r="T101" s="73" t="e">
        <f t="shared" si="9"/>
        <v>#DIV/0!</v>
      </c>
      <c r="U101" s="74">
        <f t="shared" si="10"/>
        <v>-1</v>
      </c>
    </row>
    <row r="102" spans="1:21" x14ac:dyDescent="0.3">
      <c r="A102" s="59">
        <f>Note!$B$2</f>
        <v>2565</v>
      </c>
      <c r="B102" s="72">
        <v>902</v>
      </c>
      <c r="C102" s="56" t="s">
        <v>384</v>
      </c>
      <c r="D102" s="44"/>
      <c r="E102" s="10"/>
      <c r="F102" s="10"/>
      <c r="G102" s="10"/>
      <c r="H102" s="10"/>
      <c r="I102" s="10"/>
      <c r="J102" s="10"/>
      <c r="K102" s="10"/>
      <c r="L102" s="10"/>
      <c r="M102" s="10"/>
      <c r="N102" s="10">
        <v>65000</v>
      </c>
      <c r="O102" s="10"/>
      <c r="P102" s="10"/>
      <c r="Q102" s="10"/>
      <c r="R102" s="10">
        <f t="shared" si="12"/>
        <v>65000</v>
      </c>
      <c r="S102" s="10">
        <f>'902'!$S$6</f>
        <v>2</v>
      </c>
      <c r="T102" s="73">
        <f t="shared" si="9"/>
        <v>3.0769230769230769E-3</v>
      </c>
      <c r="U102" s="74">
        <f t="shared" si="10"/>
        <v>64998</v>
      </c>
    </row>
    <row r="103" spans="1:21" x14ac:dyDescent="0.3">
      <c r="A103" s="59">
        <f>Note!$B$2</f>
        <v>2565</v>
      </c>
      <c r="B103" s="72">
        <v>903</v>
      </c>
      <c r="C103" s="56" t="s">
        <v>74</v>
      </c>
      <c r="D103" s="44"/>
      <c r="E103" s="10"/>
      <c r="F103" s="10"/>
      <c r="G103" s="10"/>
      <c r="H103" s="10"/>
      <c r="I103" s="10"/>
      <c r="J103" s="10"/>
      <c r="K103" s="10"/>
      <c r="L103" s="10"/>
      <c r="M103" s="10"/>
      <c r="N103" s="10" t="s">
        <v>386</v>
      </c>
      <c r="O103" s="10"/>
      <c r="P103" s="10"/>
      <c r="Q103" s="10"/>
      <c r="R103" s="10">
        <f t="shared" si="12"/>
        <v>0</v>
      </c>
      <c r="S103" s="10">
        <f>'903'!$S$6</f>
        <v>3</v>
      </c>
      <c r="T103" s="73" t="e">
        <f t="shared" si="9"/>
        <v>#DIV/0!</v>
      </c>
      <c r="U103" s="74">
        <f t="shared" si="10"/>
        <v>-3</v>
      </c>
    </row>
    <row r="104" spans="1:21" x14ac:dyDescent="0.3">
      <c r="A104" s="59">
        <f>Note!$B$2</f>
        <v>2565</v>
      </c>
      <c r="B104" s="72">
        <v>904</v>
      </c>
      <c r="C104" s="56" t="s">
        <v>75</v>
      </c>
      <c r="D104" s="4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>
        <f t="shared" si="12"/>
        <v>0</v>
      </c>
      <c r="S104" s="10">
        <f>'904'!$S$6</f>
        <v>4</v>
      </c>
      <c r="T104" s="73" t="e">
        <f t="shared" si="9"/>
        <v>#DIV/0!</v>
      </c>
      <c r="U104" s="74">
        <f t="shared" si="10"/>
        <v>-4</v>
      </c>
    </row>
    <row r="105" spans="1:21" x14ac:dyDescent="0.3">
      <c r="A105" s="59">
        <f>Note!$B$2</f>
        <v>2565</v>
      </c>
      <c r="B105" s="72">
        <v>905</v>
      </c>
      <c r="C105" s="56" t="s">
        <v>76</v>
      </c>
      <c r="D105" s="44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291000</v>
      </c>
      <c r="O105" s="10"/>
      <c r="P105" s="10"/>
      <c r="Q105" s="10"/>
      <c r="R105" s="10">
        <f t="shared" si="12"/>
        <v>291000</v>
      </c>
      <c r="S105" s="10">
        <f>'905'!$S$6</f>
        <v>62400</v>
      </c>
      <c r="T105" s="73">
        <f t="shared" si="9"/>
        <v>21.443298969072167</v>
      </c>
      <c r="U105" s="74">
        <f t="shared" si="10"/>
        <v>228600</v>
      </c>
    </row>
    <row r="106" spans="1:21" x14ac:dyDescent="0.3">
      <c r="A106" s="59">
        <f>Note!$B$2</f>
        <v>2565</v>
      </c>
      <c r="B106" s="72">
        <v>906</v>
      </c>
      <c r="C106" s="56" t="s">
        <v>77</v>
      </c>
      <c r="D106" s="44"/>
      <c r="E106" s="10"/>
      <c r="F106" s="10"/>
      <c r="G106" s="10"/>
      <c r="H106" s="10"/>
      <c r="I106" s="10"/>
      <c r="J106" s="10"/>
      <c r="K106" s="10"/>
      <c r="L106" s="10"/>
      <c r="M106" s="10">
        <v>85000</v>
      </c>
      <c r="N106" s="10"/>
      <c r="O106" s="10"/>
      <c r="P106" s="10"/>
      <c r="Q106" s="10"/>
      <c r="R106" s="10">
        <f t="shared" si="12"/>
        <v>85000</v>
      </c>
      <c r="S106" s="10">
        <f>'906'!$S$6</f>
        <v>85000</v>
      </c>
      <c r="T106" s="73">
        <f t="shared" si="9"/>
        <v>99.999999999999986</v>
      </c>
      <c r="U106" s="74">
        <f t="shared" si="10"/>
        <v>0</v>
      </c>
    </row>
    <row r="107" spans="1:21" x14ac:dyDescent="0.3">
      <c r="A107" s="59">
        <f>Note!$B$2</f>
        <v>2565</v>
      </c>
      <c r="B107" s="72">
        <v>907</v>
      </c>
      <c r="C107" s="56" t="s">
        <v>78</v>
      </c>
      <c r="D107" s="4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f t="shared" si="12"/>
        <v>0</v>
      </c>
      <c r="S107" s="10">
        <f>'907'!$S$6</f>
        <v>7</v>
      </c>
      <c r="T107" s="73" t="e">
        <f t="shared" si="9"/>
        <v>#DIV/0!</v>
      </c>
      <c r="U107" s="74">
        <f t="shared" si="10"/>
        <v>-7</v>
      </c>
    </row>
    <row r="108" spans="1:21" x14ac:dyDescent="0.3">
      <c r="A108" s="59">
        <f>Note!$B$2</f>
        <v>2565</v>
      </c>
      <c r="B108" s="72">
        <v>908</v>
      </c>
      <c r="C108" s="56" t="s">
        <v>79</v>
      </c>
      <c r="D108" s="4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>
        <f t="shared" si="12"/>
        <v>0</v>
      </c>
      <c r="S108" s="10">
        <f>'908'!$S$6</f>
        <v>8</v>
      </c>
      <c r="T108" s="73" t="e">
        <f t="shared" si="9"/>
        <v>#DIV/0!</v>
      </c>
      <c r="U108" s="74">
        <f t="shared" si="10"/>
        <v>-8</v>
      </c>
    </row>
    <row r="109" spans="1:21" x14ac:dyDescent="0.3">
      <c r="A109" s="59">
        <f>Note!$B$2</f>
        <v>2565</v>
      </c>
      <c r="B109" s="72">
        <v>909</v>
      </c>
      <c r="C109" s="56" t="s">
        <v>80</v>
      </c>
      <c r="D109" s="4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f t="shared" si="12"/>
        <v>0</v>
      </c>
      <c r="S109" s="10">
        <f>'909'!$S$6</f>
        <v>9</v>
      </c>
      <c r="T109" s="73" t="e">
        <f t="shared" si="9"/>
        <v>#DIV/0!</v>
      </c>
      <c r="U109" s="74">
        <f t="shared" si="10"/>
        <v>-9</v>
      </c>
    </row>
    <row r="110" spans="1:21" x14ac:dyDescent="0.3">
      <c r="A110" s="59">
        <f>Note!$B$2</f>
        <v>2565</v>
      </c>
      <c r="B110" s="72">
        <v>910</v>
      </c>
      <c r="C110" s="56" t="s">
        <v>81</v>
      </c>
      <c r="D110" s="4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>
        <f t="shared" si="12"/>
        <v>0</v>
      </c>
      <c r="S110" s="10">
        <f>'910'!$S$6</f>
        <v>10</v>
      </c>
      <c r="T110" s="73" t="e">
        <f t="shared" si="9"/>
        <v>#DIV/0!</v>
      </c>
      <c r="U110" s="74">
        <f t="shared" si="10"/>
        <v>-10</v>
      </c>
    </row>
    <row r="111" spans="1:21" x14ac:dyDescent="0.3">
      <c r="A111" s="59">
        <f>Note!$B$2</f>
        <v>2565</v>
      </c>
      <c r="B111" s="72">
        <v>911</v>
      </c>
      <c r="C111" s="56" t="s">
        <v>258</v>
      </c>
      <c r="D111" s="44"/>
      <c r="E111" s="10"/>
      <c r="F111" s="10"/>
      <c r="G111" s="10"/>
      <c r="H111" s="10"/>
      <c r="I111" s="10"/>
      <c r="J111" s="10"/>
      <c r="K111" s="10"/>
      <c r="L111" s="10"/>
      <c r="M111" s="10"/>
      <c r="N111" s="10">
        <v>58800</v>
      </c>
      <c r="O111" s="10"/>
      <c r="P111" s="10"/>
      <c r="Q111" s="10"/>
      <c r="R111" s="10">
        <f t="shared" si="12"/>
        <v>58800</v>
      </c>
      <c r="S111" s="10">
        <f>'911'!$S$6</f>
        <v>58800</v>
      </c>
      <c r="T111" s="73">
        <f t="shared" si="9"/>
        <v>100</v>
      </c>
      <c r="U111" s="74">
        <f t="shared" si="10"/>
        <v>0</v>
      </c>
    </row>
    <row r="112" spans="1:21" x14ac:dyDescent="0.3">
      <c r="A112" s="59">
        <f>Note!$B$2</f>
        <v>2565</v>
      </c>
      <c r="B112" s="72">
        <v>912</v>
      </c>
      <c r="C112" s="56" t="s">
        <v>231</v>
      </c>
      <c r="D112" s="44"/>
      <c r="E112" s="10"/>
      <c r="F112" s="10"/>
      <c r="G112" s="10"/>
      <c r="H112" s="10"/>
      <c r="I112" s="10"/>
      <c r="J112" s="10"/>
      <c r="K112" s="10"/>
      <c r="L112" s="10"/>
      <c r="M112" s="10"/>
      <c r="N112" s="10">
        <v>94800</v>
      </c>
      <c r="O112" s="10"/>
      <c r="P112" s="10"/>
      <c r="Q112" s="10"/>
      <c r="R112" s="10">
        <f t="shared" si="12"/>
        <v>94800</v>
      </c>
      <c r="S112" s="10">
        <f>'912'!$S$6</f>
        <v>94800</v>
      </c>
      <c r="T112" s="73">
        <f t="shared" si="9"/>
        <v>99.999999999999986</v>
      </c>
      <c r="U112" s="74">
        <f t="shared" si="10"/>
        <v>0</v>
      </c>
    </row>
    <row r="113" spans="1:21" x14ac:dyDescent="0.3">
      <c r="A113" s="59">
        <f>Note!$B$2</f>
        <v>2565</v>
      </c>
      <c r="B113" s="72">
        <v>913</v>
      </c>
      <c r="C113" s="56" t="s">
        <v>363</v>
      </c>
      <c r="D113" s="44"/>
      <c r="E113" s="10"/>
      <c r="F113" s="10"/>
      <c r="G113" s="10"/>
      <c r="H113" s="10"/>
      <c r="I113" s="10"/>
      <c r="J113" s="10"/>
      <c r="K113" s="10"/>
      <c r="L113" s="10"/>
      <c r="M113" s="10"/>
      <c r="N113" s="10">
        <v>89900</v>
      </c>
      <c r="O113" s="10"/>
      <c r="P113" s="10"/>
      <c r="Q113" s="10"/>
      <c r="R113" s="10">
        <f t="shared" si="12"/>
        <v>89900</v>
      </c>
      <c r="S113" s="10">
        <f>'913'!$S$6</f>
        <v>0</v>
      </c>
      <c r="T113" s="73">
        <f t="shared" si="9"/>
        <v>0</v>
      </c>
      <c r="U113" s="74">
        <f t="shared" si="10"/>
        <v>89900</v>
      </c>
    </row>
    <row r="114" spans="1:21" x14ac:dyDescent="0.3">
      <c r="A114" s="59">
        <f>Note!$B$2</f>
        <v>2565</v>
      </c>
      <c r="B114" s="72">
        <v>914</v>
      </c>
      <c r="C114" s="56" t="s">
        <v>144</v>
      </c>
      <c r="D114" s="4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>
        <f t="shared" si="12"/>
        <v>0</v>
      </c>
      <c r="S114" s="10">
        <f>'914'!$S$6</f>
        <v>14</v>
      </c>
      <c r="T114" s="73" t="e">
        <f t="shared" si="9"/>
        <v>#DIV/0!</v>
      </c>
      <c r="U114" s="74">
        <f t="shared" si="10"/>
        <v>-14</v>
      </c>
    </row>
    <row r="115" spans="1:21" x14ac:dyDescent="0.3">
      <c r="A115" s="59">
        <f>Note!$B$2</f>
        <v>2565</v>
      </c>
      <c r="B115" s="72">
        <v>915</v>
      </c>
      <c r="C115" s="56" t="s">
        <v>145</v>
      </c>
      <c r="D115" s="4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f t="shared" si="12"/>
        <v>0</v>
      </c>
      <c r="S115" s="10">
        <f>'915'!$S$6</f>
        <v>15</v>
      </c>
      <c r="T115" s="73" t="e">
        <f t="shared" si="9"/>
        <v>#DIV/0!</v>
      </c>
      <c r="U115" s="74">
        <f t="shared" si="10"/>
        <v>-15</v>
      </c>
    </row>
    <row r="116" spans="1:21" x14ac:dyDescent="0.3">
      <c r="A116" s="59">
        <f>Note!$B$2</f>
        <v>2565</v>
      </c>
      <c r="B116" s="72">
        <v>916</v>
      </c>
      <c r="C116" s="56" t="s">
        <v>147</v>
      </c>
      <c r="D116" s="4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>
        <f t="shared" si="12"/>
        <v>0</v>
      </c>
      <c r="S116" s="10">
        <f>'916'!$S$6</f>
        <v>16</v>
      </c>
      <c r="T116" s="73" t="e">
        <f t="shared" si="9"/>
        <v>#DIV/0!</v>
      </c>
      <c r="U116" s="74">
        <f t="shared" si="10"/>
        <v>-16</v>
      </c>
    </row>
    <row r="117" spans="1:21" x14ac:dyDescent="0.3">
      <c r="A117" s="59">
        <f>Note!$B$2</f>
        <v>2565</v>
      </c>
      <c r="B117" s="72">
        <v>917</v>
      </c>
      <c r="C117" s="56" t="s">
        <v>148</v>
      </c>
      <c r="D117" s="4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>
        <f t="shared" si="12"/>
        <v>0</v>
      </c>
      <c r="S117" s="10">
        <f>'917'!$S$6</f>
        <v>17</v>
      </c>
      <c r="T117" s="73" t="e">
        <f t="shared" si="9"/>
        <v>#DIV/0!</v>
      </c>
      <c r="U117" s="74">
        <f t="shared" si="10"/>
        <v>-17</v>
      </c>
    </row>
    <row r="118" spans="1:21" x14ac:dyDescent="0.3">
      <c r="A118" s="59">
        <f>Note!$B$2</f>
        <v>2565</v>
      </c>
      <c r="B118" s="72">
        <v>918</v>
      </c>
      <c r="C118" s="56" t="s">
        <v>149</v>
      </c>
      <c r="D118" s="4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>
        <f t="shared" si="12"/>
        <v>0</v>
      </c>
      <c r="S118" s="10">
        <f>'918'!$S$6</f>
        <v>18</v>
      </c>
      <c r="T118" s="73" t="e">
        <f t="shared" si="9"/>
        <v>#DIV/0!</v>
      </c>
      <c r="U118" s="74">
        <f t="shared" si="10"/>
        <v>-18</v>
      </c>
    </row>
    <row r="119" spans="1:21" x14ac:dyDescent="0.3">
      <c r="A119" s="59">
        <f>Note!$B$2</f>
        <v>2565</v>
      </c>
      <c r="B119" s="72">
        <v>919</v>
      </c>
      <c r="C119" s="56" t="s">
        <v>150</v>
      </c>
      <c r="D119" s="4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>
        <f t="shared" si="12"/>
        <v>0</v>
      </c>
      <c r="S119" s="10">
        <f>'919'!$S$6</f>
        <v>19</v>
      </c>
      <c r="T119" s="73" t="e">
        <f t="shared" si="9"/>
        <v>#DIV/0!</v>
      </c>
      <c r="U119" s="74">
        <f t="shared" si="10"/>
        <v>-19</v>
      </c>
    </row>
    <row r="120" spans="1:21" x14ac:dyDescent="0.3">
      <c r="A120" s="59">
        <f>Note!$B$2</f>
        <v>2565</v>
      </c>
      <c r="B120" s="72">
        <v>920</v>
      </c>
      <c r="C120" s="56" t="s">
        <v>151</v>
      </c>
      <c r="D120" s="4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>
        <f t="shared" si="12"/>
        <v>0</v>
      </c>
      <c r="S120" s="10">
        <f>'920'!$S$6</f>
        <v>20</v>
      </c>
      <c r="T120" s="73" t="e">
        <f t="shared" si="9"/>
        <v>#DIV/0!</v>
      </c>
      <c r="U120" s="74">
        <f t="shared" si="10"/>
        <v>-20</v>
      </c>
    </row>
  </sheetData>
  <mergeCells count="7">
    <mergeCell ref="D2:F2"/>
    <mergeCell ref="G2:L2"/>
    <mergeCell ref="P2:Q2"/>
    <mergeCell ref="R2:R3"/>
    <mergeCell ref="S3:U3"/>
    <mergeCell ref="S2:U2"/>
    <mergeCell ref="N2:O2"/>
  </mergeCells>
  <hyperlinks>
    <hyperlink ref="B10" location="'101'!A10" display="'101'!A10"/>
    <hyperlink ref="B11" location="'102'!A10" display="'102'!A10"/>
    <hyperlink ref="B12" location="'103'!A10" display="'103'!A10"/>
    <hyperlink ref="B13" location="'104'!A10" display="'104'!A10"/>
    <hyperlink ref="B14" location="'105'!A10" display="'105'!A10"/>
    <hyperlink ref="B16" location="'201'!A10" display="'201'!A10"/>
    <hyperlink ref="B17" location="'202'!A10" display="'202'!A10"/>
    <hyperlink ref="B18" location="'203'!A10" display="'203'!A10"/>
    <hyperlink ref="B19" location="'204'!A10" display="'204'!A10"/>
    <hyperlink ref="B20" location="'205'!A10" display="'205'!A10"/>
    <hyperlink ref="B21" location="'206'!A10" display="'206'!A10"/>
    <hyperlink ref="B22" location="'207'!A10" display="'207'!A10"/>
    <hyperlink ref="B23" location="'208'!A10" display="'208'!A10"/>
    <hyperlink ref="B24" location="'209'!A10" display="'209'!A10"/>
    <hyperlink ref="B25" location="'210'!A10" display="'210'!A10"/>
    <hyperlink ref="B26" location="'211'!A10" display="'211'!A10"/>
    <hyperlink ref="B27" location="'212'!A10" display="'212'!A10"/>
    <hyperlink ref="B28" location="'213'!A10" display="'213'!A10"/>
    <hyperlink ref="B29" location="'214'!A10" display="'214'!A10"/>
    <hyperlink ref="B31" location="'301'!A10" display="'301'!A10"/>
    <hyperlink ref="B32" location="'302'!A10" display="'302'!A10"/>
    <hyperlink ref="B33" location="'303'!A10" display="'303'!A10"/>
    <hyperlink ref="B34" location="'304'!A10" display="'304'!A10"/>
    <hyperlink ref="B35" location="'305'!A10" display="'305'!A10"/>
    <hyperlink ref="B36" location="'306'!A10" display="'306'!A10"/>
    <hyperlink ref="B37" location="'307'!A10" display="'307'!A10"/>
    <hyperlink ref="B38" location="'308'!A10" display="'308'!A10"/>
    <hyperlink ref="B39" location="'309'!A10" display="'309'!A10"/>
    <hyperlink ref="B40" location="'310'!A10" display="'310'!A10"/>
    <hyperlink ref="B41" location="'311'!A10" display="'311'!A10"/>
    <hyperlink ref="B42" location="'312'!A10" display="'312'!A10"/>
    <hyperlink ref="B43" location="'313'!A10" display="'313'!A10"/>
    <hyperlink ref="B44" location="'314'!A10" display="'314'!A10"/>
    <hyperlink ref="B46" location="'401'!A10" display="'401'!A10"/>
    <hyperlink ref="B47" location="'402'!A10" display="'402'!A10"/>
    <hyperlink ref="B48" location="'403'!A10" display="'403'!A10"/>
    <hyperlink ref="B49" location="'404'!A10" display="'404'!A10"/>
    <hyperlink ref="B50" location="'405'!A10" display="'405'!A10"/>
    <hyperlink ref="B51" location="'406'!A10" display="'406'!A10"/>
    <hyperlink ref="B52" location="'407'!A10" display="'407'!A10"/>
    <hyperlink ref="B53" location="'408'!A10" display="'408'!A10"/>
    <hyperlink ref="B54" location="'409'!A10" display="'409'!A10"/>
    <hyperlink ref="B55" location="'410'!A10" display="'410'!A10"/>
    <hyperlink ref="B56" location="'411'!A10" display="'411'!A10"/>
    <hyperlink ref="B57" location="'412'!A10" display="'412'!A10"/>
    <hyperlink ref="B58" location="'413'!A10" display="'413'!A10"/>
    <hyperlink ref="B59" location="'414'!A10" display="'414'!A10"/>
    <hyperlink ref="B60" location="'415'!A10" display="'415'!A10"/>
    <hyperlink ref="B61" location="'416'!A10" display="'416'!A10"/>
    <hyperlink ref="B62" location="'417'!A10" display="'417'!A10"/>
    <hyperlink ref="B64" location="'501'!A10" display="'501'!A10"/>
    <hyperlink ref="B65" location="'502'!A10" display="'502'!A10"/>
    <hyperlink ref="B66" location="'503'!A10" display="'503'!A10"/>
    <hyperlink ref="B67" location="'504'!A10" display="'504'!A10"/>
    <hyperlink ref="B68" location="'505'!A10" display="'505'!A10"/>
    <hyperlink ref="B69" location="'506'!A10" display="'506'!A10"/>
    <hyperlink ref="B70" location="'507'!A10" display="'507'!A10"/>
    <hyperlink ref="B71" location="'508'!A10" display="'508'!A10"/>
    <hyperlink ref="B73" location="'601'!A10" display="'601'!A10"/>
    <hyperlink ref="B74" location="'602'!A10" display="'602'!A10"/>
    <hyperlink ref="B75" location="'603'!A10" display="'603'!A10"/>
    <hyperlink ref="B76" location="'604'!A10" display="'604'!A10"/>
    <hyperlink ref="B77" location="'605'!A10" display="'605'!A10"/>
    <hyperlink ref="B78" location="'606'!A10" display="'606'!A10"/>
    <hyperlink ref="B79" location="'607'!A10" display="'607'!A10"/>
    <hyperlink ref="B80" location="'608'!A10" display="'608'!A10"/>
    <hyperlink ref="B81" location="'609'!A10" display="'609'!A10"/>
    <hyperlink ref="B82" location="'610'!A10" display="'610'!A10"/>
    <hyperlink ref="B84" location="'701'!A10" display="'701'!A10"/>
    <hyperlink ref="B85" location="'702'!A10" display="'702'!A10"/>
    <hyperlink ref="B86" location="'703'!A10" display="'703'!A10"/>
    <hyperlink ref="B87" location="'704'!A10" display="'704'!A10"/>
    <hyperlink ref="B88" location="'705'!A10" display="'705'!A10"/>
    <hyperlink ref="B90" location="'801'!A10" display="'801'!A10"/>
    <hyperlink ref="B91" location="'802'!A10" display="'802'!A10"/>
    <hyperlink ref="B92" location="'803'!A10" display="'803'!A10"/>
    <hyperlink ref="B93" location="'804'!A10" display="'804'!A10"/>
    <hyperlink ref="B94" location="'805'!A10" display="'805'!A10"/>
    <hyperlink ref="B95" location="'806'!A10" display="'806'!A10"/>
    <hyperlink ref="B96" location="'807'!A10" display="'807'!A10"/>
    <hyperlink ref="B97" location="'808'!A10" display="'808'!A10"/>
    <hyperlink ref="B98" location="'809'!A10" display="'809'!A10"/>
    <hyperlink ref="B99" location="'810'!A10" display="'810'!A10"/>
    <hyperlink ref="B101" location="'901'!A10" display="'901'!A10"/>
    <hyperlink ref="B102" location="'902'!A10" display="'902'!A10"/>
    <hyperlink ref="B103" location="'903'!A10" display="'903'!A10"/>
    <hyperlink ref="B104" location="'904'!A10" display="'904'!A10"/>
    <hyperlink ref="B105" location="'905'!A10" display="'905'!A10"/>
    <hyperlink ref="B106" location="'906'!A10" display="'906'!A10"/>
    <hyperlink ref="B107" location="'907'!A10" display="'907'!A10"/>
    <hyperlink ref="B108" location="'908'!A10" display="'908'!A10"/>
    <hyperlink ref="B109" location="'909'!A10" display="'909'!A10"/>
    <hyperlink ref="B110" location="'910'!A10" display="'910'!A10"/>
    <hyperlink ref="B111" location="'911'!A10" display="'911'!A10"/>
    <hyperlink ref="B112" location="'912'!A10" display="'912'!A10"/>
    <hyperlink ref="B113" location="'913'!A10" display="'913'!A10"/>
    <hyperlink ref="B114" location="'914'!A10" display="'914'!A10"/>
    <hyperlink ref="B115" location="'915'!A10" display="'915'!A10"/>
    <hyperlink ref="B116" location="'916'!A10" display="'916'!A10"/>
    <hyperlink ref="B117" location="'917'!A10" display="'917'!A10"/>
    <hyperlink ref="B118" location="'918'!A10" display="'918'!A10"/>
    <hyperlink ref="B119" location="'919'!A10" display="'919'!A10"/>
    <hyperlink ref="B120" location="'920'!A10" display="'920'!A10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7.625" style="1" customWidth="1"/>
    <col min="4" max="4" width="15.25" style="1" customWidth="1"/>
    <col min="5" max="15" width="9" style="1"/>
    <col min="16" max="16" width="10.125" style="1" customWidth="1"/>
    <col min="17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งปม.'!D10</f>
        <v>765050</v>
      </c>
      <c r="F5" s="10">
        <f>'จัดสรร งปม.'!E10</f>
        <v>0</v>
      </c>
      <c r="G5" s="10">
        <f>'จัดสรร งปม.'!F10</f>
        <v>0</v>
      </c>
      <c r="H5" s="10">
        <f>'จัดสรร งปม.'!G10</f>
        <v>0</v>
      </c>
      <c r="I5" s="10">
        <f>'จัดสรร งปม.'!H10</f>
        <v>0</v>
      </c>
      <c r="J5" s="10">
        <f>'จัดสรร งปม.'!I10</f>
        <v>0</v>
      </c>
      <c r="K5" s="10">
        <f>'จัดสรร งปม.'!J10</f>
        <v>0</v>
      </c>
      <c r="L5" s="10">
        <f>'จัดสรร งปม.'!K10</f>
        <v>0</v>
      </c>
      <c r="M5" s="10"/>
      <c r="N5" s="10">
        <f>'จัดสรร งปม.'!L10</f>
        <v>0</v>
      </c>
      <c r="O5" s="10"/>
      <c r="P5" s="10">
        <f>'จัดสรร งปม.'!N10</f>
        <v>0</v>
      </c>
      <c r="Q5" s="10">
        <f>'จัดสรร งปม.'!P10</f>
        <v>0</v>
      </c>
      <c r="R5" s="10">
        <f>'จัดสรร งปม.'!Q10</f>
        <v>0</v>
      </c>
      <c r="S5" s="10">
        <f>'จัดสรร งปม.'!R10</f>
        <v>765050</v>
      </c>
    </row>
    <row r="6" spans="1:19" x14ac:dyDescent="0.3">
      <c r="D6" s="49" t="s">
        <v>94</v>
      </c>
      <c r="E6" s="10">
        <f>SUM(E11:E45)</f>
        <v>765000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765000</v>
      </c>
    </row>
    <row r="7" spans="1:19" x14ac:dyDescent="0.3">
      <c r="B7" s="77" t="s">
        <v>152</v>
      </c>
      <c r="C7" s="79"/>
      <c r="D7" s="49" t="s">
        <v>96</v>
      </c>
      <c r="E7" s="10">
        <f>E5-E6</f>
        <v>50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50</v>
      </c>
    </row>
    <row r="8" spans="1:19" x14ac:dyDescent="0.3">
      <c r="B8" s="49" t="s">
        <v>99</v>
      </c>
      <c r="C8" s="79">
        <f>'จัดสรร งปม.'!$B$10</f>
        <v>101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งปม.'!$C$10</f>
        <v>เงินเดือนพนักงานราชการ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tr">
        <f>M4</f>
        <v>เครื่องมือ</v>
      </c>
      <c r="N10" s="108" t="str">
        <f>N4</f>
        <v>ทั่วไป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235</v>
      </c>
      <c r="C11" s="44" t="s">
        <v>239</v>
      </c>
      <c r="D11" s="17" t="s">
        <v>240</v>
      </c>
      <c r="E11" s="10">
        <v>147120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147120</v>
      </c>
    </row>
    <row r="12" spans="1:19" x14ac:dyDescent="0.3">
      <c r="A12" s="87" t="s">
        <v>106</v>
      </c>
      <c r="B12" s="42" t="s">
        <v>236</v>
      </c>
      <c r="C12" s="44" t="s">
        <v>239</v>
      </c>
      <c r="D12" s="17" t="s">
        <v>240</v>
      </c>
      <c r="E12" s="10">
        <v>147120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147120</v>
      </c>
    </row>
    <row r="13" spans="1:19" x14ac:dyDescent="0.3">
      <c r="A13" s="88" t="s">
        <v>107</v>
      </c>
      <c r="B13" s="42" t="s">
        <v>238</v>
      </c>
      <c r="C13" s="44" t="s">
        <v>239</v>
      </c>
      <c r="D13" s="17" t="s">
        <v>240</v>
      </c>
      <c r="E13" s="10">
        <v>147120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147120</v>
      </c>
    </row>
    <row r="14" spans="1:19" x14ac:dyDescent="0.3">
      <c r="A14" s="88" t="s">
        <v>108</v>
      </c>
      <c r="B14" s="42" t="s">
        <v>237</v>
      </c>
      <c r="C14" s="44" t="s">
        <v>239</v>
      </c>
      <c r="D14" s="17" t="s">
        <v>240</v>
      </c>
      <c r="E14" s="10">
        <v>147120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147120</v>
      </c>
    </row>
    <row r="15" spans="1:19" x14ac:dyDescent="0.3">
      <c r="A15" s="88" t="s">
        <v>109</v>
      </c>
      <c r="B15" s="42" t="s">
        <v>289</v>
      </c>
      <c r="C15" s="44" t="s">
        <v>239</v>
      </c>
      <c r="D15" s="17" t="s">
        <v>240</v>
      </c>
      <c r="E15" s="10">
        <v>147120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147120</v>
      </c>
    </row>
    <row r="16" spans="1:19" x14ac:dyDescent="0.3">
      <c r="A16" s="88" t="s">
        <v>110</v>
      </c>
      <c r="B16" s="42" t="s">
        <v>365</v>
      </c>
      <c r="C16" s="44" t="s">
        <v>239</v>
      </c>
      <c r="D16" s="17" t="s">
        <v>240</v>
      </c>
      <c r="E16" s="10">
        <v>29400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29400</v>
      </c>
    </row>
    <row r="17" spans="1:19" ht="21.75" x14ac:dyDescent="0.5">
      <c r="A17" s="42" t="s">
        <v>111</v>
      </c>
      <c r="B17" s="42"/>
      <c r="C17" s="44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44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44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44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44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A1:B1"/>
    <mergeCell ref="E3:G3"/>
    <mergeCell ref="Q3:R3"/>
    <mergeCell ref="O3:P3"/>
    <mergeCell ref="S3:S4"/>
    <mergeCell ref="H3:N3"/>
    <mergeCell ref="Q9:R9"/>
    <mergeCell ref="H9:N9"/>
    <mergeCell ref="C9:G9"/>
  </mergeCells>
  <hyperlinks>
    <hyperlink ref="A11" r:id="rId1"/>
    <hyperlink ref="A1:B1" location="'จัดสรร งปม.'!A1" display="กลับไปที่หน้าจัดสรร งปม.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  <pageSetup paperSize="9"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งปม.'!D11</f>
        <v>0</v>
      </c>
      <c r="F5" s="10">
        <f>'จัดสรร งปม.'!E11</f>
        <v>0</v>
      </c>
      <c r="G5" s="10">
        <f>'จัดสรร งปม.'!F11</f>
        <v>0</v>
      </c>
      <c r="H5" s="10">
        <f>'จัดสรร งปม.'!G11</f>
        <v>0</v>
      </c>
      <c r="I5" s="10">
        <f>'จัดสรร งปม.'!H11</f>
        <v>0</v>
      </c>
      <c r="J5" s="10">
        <f>'จัดสรร งปม.'!I11</f>
        <v>0</v>
      </c>
      <c r="K5" s="10">
        <f>'จัดสรร งปม.'!J11</f>
        <v>0</v>
      </c>
      <c r="L5" s="10">
        <f>'จัดสรร งปม.'!K11</f>
        <v>0</v>
      </c>
      <c r="M5" s="10"/>
      <c r="N5" s="10">
        <f>'จัดสรร งปม.'!L11</f>
        <v>0</v>
      </c>
      <c r="O5" s="10"/>
      <c r="P5" s="10">
        <f>'จัดสรร งปม.'!N11</f>
        <v>0</v>
      </c>
      <c r="Q5" s="10">
        <f>'จัดสรร งปม.'!P11</f>
        <v>0</v>
      </c>
      <c r="R5" s="10">
        <f>'จัดสรร งปม.'!Q11</f>
        <v>0</v>
      </c>
      <c r="S5" s="10">
        <f>'จัดสรร งปม.'!R11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152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งปม.'!$B$11</f>
        <v>102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งปม.'!$C$11</f>
        <v>สำรอง 1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งปม.'!D12</f>
        <v>0</v>
      </c>
      <c r="F5" s="10">
        <f>'จัดสรร งปม.'!E12</f>
        <v>0</v>
      </c>
      <c r="G5" s="10">
        <f>'จัดสรร งปม.'!F12</f>
        <v>0</v>
      </c>
      <c r="H5" s="10">
        <f>'จัดสรร งปม.'!G12</f>
        <v>0</v>
      </c>
      <c r="I5" s="10">
        <f>'จัดสรร งปม.'!H12</f>
        <v>0</v>
      </c>
      <c r="J5" s="10">
        <f>'จัดสรร งปม.'!I12</f>
        <v>0</v>
      </c>
      <c r="K5" s="10">
        <f>'จัดสรร งปม.'!J12</f>
        <v>0</v>
      </c>
      <c r="L5" s="10">
        <f>'จัดสรร งปม.'!K12</f>
        <v>0</v>
      </c>
      <c r="M5" s="10"/>
      <c r="N5" s="10">
        <f>'จัดสรร งปม.'!L12</f>
        <v>0</v>
      </c>
      <c r="O5" s="10"/>
      <c r="P5" s="10">
        <f>'จัดสรร งปม.'!N12</f>
        <v>0</v>
      </c>
      <c r="Q5" s="10">
        <f>'จัดสรร งปม.'!P12</f>
        <v>0</v>
      </c>
      <c r="R5" s="10">
        <f>'จัดสรร งปม.'!Q12</f>
        <v>0</v>
      </c>
      <c r="S5" s="10">
        <f>'จัดสรร งปม.'!R12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152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งปม.'!$B$12</f>
        <v>103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งปม.'!$C$12</f>
        <v>สำรอง 2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งปม.'!D13</f>
        <v>0</v>
      </c>
      <c r="F5" s="10">
        <f>'จัดสรร งปม.'!E13</f>
        <v>0</v>
      </c>
      <c r="G5" s="10">
        <f>'จัดสรร งปม.'!F13</f>
        <v>0</v>
      </c>
      <c r="H5" s="10">
        <f>'จัดสรร งปม.'!G13</f>
        <v>0</v>
      </c>
      <c r="I5" s="10">
        <f>'จัดสรร งปม.'!H13</f>
        <v>0</v>
      </c>
      <c r="J5" s="10">
        <f>'จัดสรร งปม.'!I13</f>
        <v>0</v>
      </c>
      <c r="K5" s="10">
        <f>'จัดสรร งปม.'!J13</f>
        <v>0</v>
      </c>
      <c r="L5" s="10">
        <f>'จัดสรร งปม.'!K13</f>
        <v>0</v>
      </c>
      <c r="M5" s="10"/>
      <c r="N5" s="10">
        <f>'จัดสรร งปม.'!L13</f>
        <v>0</v>
      </c>
      <c r="O5" s="10"/>
      <c r="P5" s="10">
        <f>'จัดสรร งปม.'!N13</f>
        <v>0</v>
      </c>
      <c r="Q5" s="10">
        <f>'จัดสรร งปม.'!P13</f>
        <v>0</v>
      </c>
      <c r="R5" s="10">
        <f>'จัดสรร งปม.'!Q13</f>
        <v>0</v>
      </c>
      <c r="S5" s="10">
        <f>'จัดสรร งปม.'!R13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152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งปม.'!$B$13</f>
        <v>104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งปม.'!$C$13</f>
        <v>สำรอง 3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งปม.'!D14</f>
        <v>0</v>
      </c>
      <c r="F5" s="10">
        <f>'จัดสรร งปม.'!E14</f>
        <v>0</v>
      </c>
      <c r="G5" s="10">
        <f>'จัดสรร งปม.'!F14</f>
        <v>0</v>
      </c>
      <c r="H5" s="10">
        <f>'จัดสรร งปม.'!G14</f>
        <v>0</v>
      </c>
      <c r="I5" s="10">
        <f>'จัดสรร งปม.'!H14</f>
        <v>0</v>
      </c>
      <c r="J5" s="10">
        <f>'จัดสรร งปม.'!I14</f>
        <v>0</v>
      </c>
      <c r="K5" s="10">
        <f>'จัดสรร งปม.'!J14</f>
        <v>0</v>
      </c>
      <c r="L5" s="10">
        <f>'จัดสรร งปม.'!K14</f>
        <v>0</v>
      </c>
      <c r="M5" s="10"/>
      <c r="N5" s="10">
        <f>'จัดสรร งปม.'!L14</f>
        <v>0</v>
      </c>
      <c r="O5" s="10"/>
      <c r="P5" s="10">
        <f>'จัดสรร งปม.'!N14</f>
        <v>0</v>
      </c>
      <c r="Q5" s="10">
        <f>'จัดสรร งปม.'!P14</f>
        <v>0</v>
      </c>
      <c r="R5" s="10">
        <f>'จัดสรร งปม.'!Q14</f>
        <v>0</v>
      </c>
      <c r="S5" s="10">
        <f>'จัดสรร งปม.'!R14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152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งปม.'!$B$14</f>
        <v>105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งปม.'!$C$14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งปม.'!D16</f>
        <v>0</v>
      </c>
      <c r="F5" s="10">
        <f>'จัดสรร งปม.'!E16</f>
        <v>0</v>
      </c>
      <c r="G5" s="10">
        <f>'จัดสรร งปม.'!F16</f>
        <v>0</v>
      </c>
      <c r="H5" s="10">
        <f>'จัดสรร งปม.'!G16</f>
        <v>0</v>
      </c>
      <c r="I5" s="10">
        <f>'จัดสรร งปม.'!H16</f>
        <v>0</v>
      </c>
      <c r="J5" s="10">
        <f>'จัดสรร งปม.'!I16</f>
        <v>0</v>
      </c>
      <c r="K5" s="10">
        <f>'จัดสรร งปม.'!J16</f>
        <v>0</v>
      </c>
      <c r="L5" s="10">
        <f>'จัดสรร งปม.'!K16</f>
        <v>0</v>
      </c>
      <c r="M5" s="10"/>
      <c r="N5" s="10">
        <f>'จัดสรร งปม.'!L16</f>
        <v>0</v>
      </c>
      <c r="O5" s="10"/>
      <c r="P5" s="10">
        <f>'จัดสรร งปม.'!N16</f>
        <v>0</v>
      </c>
      <c r="Q5" s="10">
        <f>'จัดสรร งปม.'!P16</f>
        <v>0</v>
      </c>
      <c r="R5" s="10">
        <f>'จัดสรร งปม.'!Q16</f>
        <v>0</v>
      </c>
      <c r="S5" s="10">
        <f>'จัดสรร งปม.'!R16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งปม.'!$B$16</f>
        <v>201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งปม.'!$C$16</f>
        <v>ค่าตอบแทนพิเศษพนักงานราชการ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A1:B1"/>
    <mergeCell ref="E3:G3"/>
    <mergeCell ref="H3:N3"/>
    <mergeCell ref="Q3:R3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งปม.'!D17</f>
        <v>0</v>
      </c>
      <c r="F5" s="10">
        <f>'จัดสรร งปม.'!E17</f>
        <v>0</v>
      </c>
      <c r="G5" s="10">
        <f>'จัดสรร งปม.'!F17</f>
        <v>0</v>
      </c>
      <c r="H5" s="10">
        <f>'จัดสรร งปม.'!G17</f>
        <v>169920</v>
      </c>
      <c r="I5" s="10">
        <f>'จัดสรร งปม.'!H17</f>
        <v>0</v>
      </c>
      <c r="J5" s="10">
        <f>'จัดสรร งปม.'!I17</f>
        <v>0</v>
      </c>
      <c r="K5" s="10">
        <f>'จัดสรร งปม.'!J17</f>
        <v>0</v>
      </c>
      <c r="L5" s="10">
        <f>'จัดสรร งปม.'!K17</f>
        <v>0</v>
      </c>
      <c r="M5" s="10"/>
      <c r="N5" s="10">
        <f>'จัดสรร งปม.'!L17</f>
        <v>0</v>
      </c>
      <c r="O5" s="10"/>
      <c r="P5" s="10">
        <f>'จัดสรร งปม.'!N17</f>
        <v>0</v>
      </c>
      <c r="Q5" s="10">
        <f>'จัดสรร งปม.'!P17</f>
        <v>0</v>
      </c>
      <c r="R5" s="10">
        <f>'จัดสรร งปม.'!Q17</f>
        <v>0</v>
      </c>
      <c r="S5" s="10">
        <f>'จัดสรร งปม.'!R17</f>
        <v>169920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169920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169920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งปม.'!$B$17</f>
        <v>202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งปม.'!$C$17</f>
        <v>ค่าสอนเกินภาระงาน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12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1" t="s">
        <v>241</v>
      </c>
      <c r="C11" s="44" t="s">
        <v>242</v>
      </c>
      <c r="D11" s="44" t="s">
        <v>243</v>
      </c>
      <c r="E11" s="10"/>
      <c r="F11" s="10"/>
      <c r="G11" s="10"/>
      <c r="H11" s="10">
        <v>169920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169920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A1:B1"/>
    <mergeCell ref="E3:G3"/>
    <mergeCell ref="H3:N3"/>
    <mergeCell ref="Q3:R3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0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งปม.'!D18</f>
        <v>0</v>
      </c>
      <c r="F5" s="10">
        <f>'จัดสรร งปม.'!E18</f>
        <v>0</v>
      </c>
      <c r="G5" s="10">
        <f>'จัดสรร งปม.'!F18</f>
        <v>0</v>
      </c>
      <c r="H5" s="10">
        <f>'จัดสรร งปม.'!G18</f>
        <v>0</v>
      </c>
      <c r="I5" s="10">
        <f>'จัดสรร งปม.'!H18</f>
        <v>0</v>
      </c>
      <c r="J5" s="10">
        <f>'จัดสรร งปม.'!I18</f>
        <v>0</v>
      </c>
      <c r="K5" s="10">
        <f>'จัดสรร งปม.'!J18</f>
        <v>0</v>
      </c>
      <c r="L5" s="10">
        <f>'จัดสรร งปม.'!K18</f>
        <v>0</v>
      </c>
      <c r="M5" s="10"/>
      <c r="N5" s="10">
        <f>'จัดสรร งปม.'!L18</f>
        <v>0</v>
      </c>
      <c r="O5" s="10"/>
      <c r="P5" s="10">
        <f>'จัดสรร งปม.'!N18</f>
        <v>0</v>
      </c>
      <c r="Q5" s="10">
        <f>'จัดสรร งปม.'!P18</f>
        <v>0</v>
      </c>
      <c r="R5" s="10">
        <f>'จัดสรร งปม.'!Q18</f>
        <v>0</v>
      </c>
      <c r="S5" s="10">
        <f>'จัดสรร งปม.'!R18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งปม.'!$B$18</f>
        <v>203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งปม.'!$C$18</f>
        <v>ค่าธุรการนอกเวลา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A1:B1"/>
    <mergeCell ref="E3:G3"/>
    <mergeCell ref="H3:N3"/>
    <mergeCell ref="Q3:R3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งปม.'!D19</f>
        <v>0</v>
      </c>
      <c r="F5" s="10">
        <f>'จัดสรร งปม.'!E19</f>
        <v>0</v>
      </c>
      <c r="G5" s="10">
        <f>'จัดสรร งปม.'!F19</f>
        <v>0</v>
      </c>
      <c r="H5" s="10">
        <f>'จัดสรร งปม.'!G19</f>
        <v>0</v>
      </c>
      <c r="I5" s="10">
        <f>'จัดสรร งปม.'!H19</f>
        <v>0</v>
      </c>
      <c r="J5" s="10">
        <f>'จัดสรร งปม.'!I19</f>
        <v>0</v>
      </c>
      <c r="K5" s="10">
        <f>'จัดสรร งปม.'!J19</f>
        <v>0</v>
      </c>
      <c r="L5" s="10">
        <f>'จัดสรร งปม.'!K19</f>
        <v>0</v>
      </c>
      <c r="M5" s="10"/>
      <c r="N5" s="10">
        <f>'จัดสรร งปม.'!L19</f>
        <v>0</v>
      </c>
      <c r="O5" s="10"/>
      <c r="P5" s="10">
        <f>'จัดสรร งปม.'!N19</f>
        <v>0</v>
      </c>
      <c r="Q5" s="10">
        <f>'จัดสรร งปม.'!P19</f>
        <v>0</v>
      </c>
      <c r="R5" s="10">
        <f>'จัดสรร งปม.'!Q19</f>
        <v>0</v>
      </c>
      <c r="S5" s="10">
        <f>'จัดสรร งปม.'!R19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งปม.'!$B$19</f>
        <v>204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งปม.'!$C$19</f>
        <v>ค่าสอนภาคฤดูร้อน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งปม.'!D20</f>
        <v>0</v>
      </c>
      <c r="F5" s="10">
        <f>'จัดสรร งปม.'!E20</f>
        <v>0</v>
      </c>
      <c r="G5" s="10">
        <f>'จัดสรร งปม.'!F20</f>
        <v>0</v>
      </c>
      <c r="H5" s="10">
        <f>'จัดสรร งปม.'!G20</f>
        <v>0</v>
      </c>
      <c r="I5" s="10">
        <f>'จัดสรร งปม.'!H20</f>
        <v>0</v>
      </c>
      <c r="J5" s="10">
        <f>'จัดสรร งปม.'!I20</f>
        <v>0</v>
      </c>
      <c r="K5" s="10">
        <f>'จัดสรร งปม.'!J20</f>
        <v>0</v>
      </c>
      <c r="L5" s="10">
        <f>'จัดสรร งปม.'!K20</f>
        <v>0</v>
      </c>
      <c r="M5" s="10"/>
      <c r="N5" s="10">
        <f>'จัดสรร งปม.'!L20</f>
        <v>0</v>
      </c>
      <c r="O5" s="10"/>
      <c r="P5" s="10">
        <f>'จัดสรร งปม.'!N20</f>
        <v>0</v>
      </c>
      <c r="Q5" s="10">
        <f>'จัดสรร งปม.'!P20</f>
        <v>0</v>
      </c>
      <c r="R5" s="10">
        <f>'จัดสรร งปม.'!Q20</f>
        <v>0</v>
      </c>
      <c r="S5" s="10">
        <f>'จัดสรร งปม.'!R20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งปม.'!$B$20</f>
        <v>205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งปม.'!$C$20</f>
        <v>ค่าสอนเทียบโอน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7.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งปม.'!D21</f>
        <v>0</v>
      </c>
      <c r="F5" s="10">
        <f>'จัดสรร งปม.'!E21</f>
        <v>0</v>
      </c>
      <c r="G5" s="10">
        <f>'จัดสรร งปม.'!F21</f>
        <v>0</v>
      </c>
      <c r="H5" s="10">
        <f>'จัดสรร งปม.'!G21</f>
        <v>1019820</v>
      </c>
      <c r="I5" s="10">
        <f>'จัดสรร งปม.'!H21</f>
        <v>0</v>
      </c>
      <c r="J5" s="10">
        <f>'จัดสรร งปม.'!I21</f>
        <v>0</v>
      </c>
      <c r="K5" s="10">
        <f>'จัดสรร งปม.'!J21</f>
        <v>0</v>
      </c>
      <c r="L5" s="10">
        <f>'จัดสรร งปม.'!K21</f>
        <v>0</v>
      </c>
      <c r="M5" s="10"/>
      <c r="N5" s="10">
        <f>'จัดสรร งปม.'!L21</f>
        <v>0</v>
      </c>
      <c r="O5" s="10"/>
      <c r="P5" s="10">
        <f>'จัดสรร งปม.'!N21</f>
        <v>0</v>
      </c>
      <c r="Q5" s="10">
        <f>'จัดสรร งปม.'!P21</f>
        <v>0</v>
      </c>
      <c r="R5" s="10">
        <f>'จัดสรร งปม.'!Q21</f>
        <v>0</v>
      </c>
      <c r="S5" s="10">
        <f>'จัดสรร งปม.'!R21</f>
        <v>1019820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1019820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1019820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งปม.'!$B$21</f>
        <v>206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งปม.'!$C$21</f>
        <v>ค่าจ้างครูรายเดือน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7" t="s">
        <v>105</v>
      </c>
      <c r="B11" s="85" t="s">
        <v>244</v>
      </c>
      <c r="C11" s="86" t="s">
        <v>239</v>
      </c>
      <c r="D11" s="86" t="s">
        <v>240</v>
      </c>
      <c r="E11" s="10"/>
      <c r="F11" s="10"/>
      <c r="G11" s="10"/>
      <c r="H11" s="10">
        <v>238200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238200</v>
      </c>
    </row>
    <row r="12" spans="1:19" x14ac:dyDescent="0.3">
      <c r="A12" s="88" t="s">
        <v>106</v>
      </c>
      <c r="B12" s="85" t="s">
        <v>244</v>
      </c>
      <c r="C12" s="86" t="s">
        <v>239</v>
      </c>
      <c r="D12" s="86" t="s">
        <v>240</v>
      </c>
      <c r="E12" s="10"/>
      <c r="F12" s="10"/>
      <c r="G12" s="10"/>
      <c r="H12" s="10">
        <v>260540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260540</v>
      </c>
    </row>
    <row r="13" spans="1:19" x14ac:dyDescent="0.3">
      <c r="A13" s="88" t="s">
        <v>107</v>
      </c>
      <c r="B13" s="85" t="s">
        <v>245</v>
      </c>
      <c r="C13" s="86" t="s">
        <v>239</v>
      </c>
      <c r="D13" s="86" t="s">
        <v>240</v>
      </c>
      <c r="E13" s="10"/>
      <c r="F13" s="10"/>
      <c r="G13" s="10"/>
      <c r="H13" s="10">
        <v>260540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260540</v>
      </c>
    </row>
    <row r="14" spans="1:19" x14ac:dyDescent="0.3">
      <c r="A14" s="88" t="s">
        <v>108</v>
      </c>
      <c r="B14" s="85" t="s">
        <v>246</v>
      </c>
      <c r="C14" s="86" t="s">
        <v>239</v>
      </c>
      <c r="D14" s="86" t="s">
        <v>240</v>
      </c>
      <c r="E14" s="10"/>
      <c r="F14" s="10"/>
      <c r="G14" s="10"/>
      <c r="H14" s="10">
        <v>260540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260540</v>
      </c>
    </row>
    <row r="15" spans="1:19" ht="21.75" x14ac:dyDescent="0.5">
      <c r="A15" s="42" t="s">
        <v>109</v>
      </c>
      <c r="B15" s="85"/>
      <c r="C15" s="86"/>
      <c r="D15" s="8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5"/>
      <c r="C16" s="86"/>
      <c r="D16" s="8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375" style="1" customWidth="1"/>
    <col min="4" max="4" width="15.25" style="1" customWidth="1"/>
    <col min="5" max="7" width="9" style="1"/>
    <col min="8" max="8" width="9.625" style="1" bestFit="1" customWidth="1"/>
    <col min="9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งปม.'!D22</f>
        <v>0</v>
      </c>
      <c r="F5" s="10">
        <f>'จัดสรร งปม.'!E22</f>
        <v>0</v>
      </c>
      <c r="G5" s="10">
        <f>'จัดสรร งปม.'!F22</f>
        <v>0</v>
      </c>
      <c r="H5" s="9">
        <f>'จัดสรร งปม.'!G22</f>
        <v>656837.44999999995</v>
      </c>
      <c r="I5" s="10">
        <f>'จัดสรร งปม.'!H22</f>
        <v>0</v>
      </c>
      <c r="J5" s="10">
        <f>'จัดสรร งปม.'!I22</f>
        <v>0</v>
      </c>
      <c r="K5" s="10">
        <f>'จัดสรร งปม.'!J22</f>
        <v>0</v>
      </c>
      <c r="L5" s="10">
        <f>'จัดสรร งปม.'!K22</f>
        <v>0</v>
      </c>
      <c r="M5" s="10"/>
      <c r="N5" s="10">
        <f>'จัดสรร งปม.'!L22</f>
        <v>0</v>
      </c>
      <c r="O5" s="10"/>
      <c r="P5" s="10">
        <f>'จัดสรร งปม.'!N22</f>
        <v>0</v>
      </c>
      <c r="Q5" s="10">
        <f>'จัดสรร งปม.'!P22</f>
        <v>0</v>
      </c>
      <c r="R5" s="10">
        <f>'จัดสรร งปม.'!Q22</f>
        <v>0</v>
      </c>
      <c r="S5" s="10">
        <f>'จัดสรร งปม.'!R22</f>
        <v>656837.44999999995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9">
        <f t="shared" si="0"/>
        <v>656837.44999999995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656837.44999999995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9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งปม.'!$B$22</f>
        <v>207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งปม.'!$C$22</f>
        <v>ค่าจ้างเจ้าหน้าที่รายเดือน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tr">
        <f>+H4</f>
        <v>จัดการเรียน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247</v>
      </c>
      <c r="C11" s="17" t="s">
        <v>248</v>
      </c>
      <c r="D11" s="17" t="s">
        <v>240</v>
      </c>
      <c r="E11" s="10"/>
      <c r="F11" s="10"/>
      <c r="G11" s="10"/>
      <c r="H11" s="9">
        <v>171026.45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171026.45</v>
      </c>
    </row>
    <row r="12" spans="1:19" x14ac:dyDescent="0.3">
      <c r="A12" s="88" t="s">
        <v>106</v>
      </c>
      <c r="B12" s="42" t="s">
        <v>247</v>
      </c>
      <c r="C12" s="17" t="s">
        <v>248</v>
      </c>
      <c r="D12" s="17" t="s">
        <v>240</v>
      </c>
      <c r="E12" s="10"/>
      <c r="F12" s="10"/>
      <c r="G12" s="10"/>
      <c r="H12" s="9">
        <v>167120.67000000001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167120.67000000001</v>
      </c>
    </row>
    <row r="13" spans="1:19" x14ac:dyDescent="0.3">
      <c r="A13" s="88" t="s">
        <v>107</v>
      </c>
      <c r="B13" s="42" t="s">
        <v>238</v>
      </c>
      <c r="C13" s="17" t="s">
        <v>248</v>
      </c>
      <c r="D13" s="17" t="s">
        <v>240</v>
      </c>
      <c r="E13" s="10"/>
      <c r="F13" s="10"/>
      <c r="G13" s="10"/>
      <c r="H13" s="9">
        <v>169600.33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169600.33</v>
      </c>
    </row>
    <row r="14" spans="1:19" x14ac:dyDescent="0.3">
      <c r="A14" s="88" t="s">
        <v>108</v>
      </c>
      <c r="B14" s="42" t="s">
        <v>389</v>
      </c>
      <c r="C14" s="17" t="s">
        <v>248</v>
      </c>
      <c r="D14" s="17" t="s">
        <v>240</v>
      </c>
      <c r="E14" s="10"/>
      <c r="F14" s="10"/>
      <c r="G14" s="10"/>
      <c r="H14" s="9">
        <v>149090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149090</v>
      </c>
    </row>
    <row r="15" spans="1:19" ht="21.75" x14ac:dyDescent="0.5">
      <c r="A15" s="42" t="s">
        <v>109</v>
      </c>
      <c r="B15" s="42"/>
      <c r="C15" s="17"/>
      <c r="D15" s="17"/>
      <c r="E15" s="10"/>
      <c r="F15" s="10"/>
      <c r="G15" s="10"/>
      <c r="H15" s="3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42"/>
      <c r="C16" s="17"/>
      <c r="D16" s="17"/>
      <c r="E16" s="10"/>
      <c r="F16" s="10"/>
      <c r="G16" s="10"/>
      <c r="H16" s="3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17"/>
      <c r="D17" s="17"/>
      <c r="E17" s="10"/>
      <c r="F17" s="10"/>
      <c r="G17" s="10"/>
      <c r="H17" s="3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17"/>
      <c r="D18" s="17"/>
      <c r="E18" s="10"/>
      <c r="F18" s="10"/>
      <c r="G18" s="10"/>
      <c r="H18" s="3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17"/>
      <c r="D19" s="17"/>
      <c r="E19" s="10"/>
      <c r="F19" s="10"/>
      <c r="G19" s="10"/>
      <c r="H19" s="3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17"/>
      <c r="D20" s="17"/>
      <c r="E20" s="10"/>
      <c r="F20" s="10"/>
      <c r="G20" s="10"/>
      <c r="H20" s="3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17"/>
      <c r="D21" s="17"/>
      <c r="E21" s="10"/>
      <c r="F21" s="10"/>
      <c r="G21" s="10"/>
      <c r="H21" s="3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17"/>
      <c r="D22" s="17"/>
      <c r="E22" s="10"/>
      <c r="F22" s="10"/>
      <c r="G22" s="10"/>
      <c r="H22" s="3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17"/>
      <c r="D23" s="17"/>
      <c r="E23" s="10"/>
      <c r="F23" s="10"/>
      <c r="G23" s="10"/>
      <c r="H23" s="3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3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งปม.'!D23</f>
        <v>0</v>
      </c>
      <c r="F5" s="10">
        <f>'จัดสรร งปม.'!E23</f>
        <v>0</v>
      </c>
      <c r="G5" s="10">
        <f>'จัดสรร งปม.'!F23</f>
        <v>0</v>
      </c>
      <c r="H5" s="10">
        <f>'จัดสรร งปม.'!G23</f>
        <v>0</v>
      </c>
      <c r="I5" s="10">
        <f>'จัดสรร งปม.'!H23</f>
        <v>0</v>
      </c>
      <c r="J5" s="10">
        <f>'จัดสรร งปม.'!I23</f>
        <v>0</v>
      </c>
      <c r="K5" s="10">
        <f>'จัดสรร งปม.'!J23</f>
        <v>0</v>
      </c>
      <c r="L5" s="10">
        <f>'จัดสรร งปม.'!K23</f>
        <v>0</v>
      </c>
      <c r="M5" s="10"/>
      <c r="N5" s="10">
        <f>'จัดสรร งปม.'!L23</f>
        <v>0</v>
      </c>
      <c r="O5" s="10"/>
      <c r="P5" s="10">
        <f>'จัดสรร งปม.'!N23</f>
        <v>0</v>
      </c>
      <c r="Q5" s="10">
        <f>'จัดสรร งปม.'!P23</f>
        <v>0</v>
      </c>
      <c r="R5" s="10">
        <f>'จัดสรร งปม.'!Q23</f>
        <v>0</v>
      </c>
      <c r="S5" s="10">
        <f>'จัดสรร งปม.'!R23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งปม.'!$B$23</f>
        <v>208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งปม.'!$C$23</f>
        <v>ค่าครองชีพครูรายเดือน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งปม.'!D24</f>
        <v>0</v>
      </c>
      <c r="F5" s="10">
        <f>'จัดสรร งปม.'!E24</f>
        <v>0</v>
      </c>
      <c r="G5" s="10">
        <f>'จัดสรร งปม.'!F24</f>
        <v>0</v>
      </c>
      <c r="H5" s="10">
        <f>'จัดสรร งปม.'!G24</f>
        <v>0</v>
      </c>
      <c r="I5" s="10">
        <f>'จัดสรร งปม.'!H24</f>
        <v>0</v>
      </c>
      <c r="J5" s="10">
        <f>'จัดสรร งปม.'!I24</f>
        <v>0</v>
      </c>
      <c r="K5" s="10">
        <f>'จัดสรร งปม.'!J24</f>
        <v>0</v>
      </c>
      <c r="L5" s="10">
        <f>'จัดสรร งปม.'!K24</f>
        <v>0</v>
      </c>
      <c r="M5" s="10"/>
      <c r="N5" s="10">
        <f>'จัดสรร งปม.'!L24</f>
        <v>0</v>
      </c>
      <c r="O5" s="10"/>
      <c r="P5" s="10">
        <f>'จัดสรร งปม.'!N24</f>
        <v>0</v>
      </c>
      <c r="Q5" s="10">
        <f>'จัดสรร งปม.'!P24</f>
        <v>0</v>
      </c>
      <c r="R5" s="10">
        <f>'จัดสรร งปม.'!Q24</f>
        <v>0</v>
      </c>
      <c r="S5" s="10">
        <f>'จัดสรร งปม.'!R24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งปม.'!$B$24</f>
        <v>209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งปม.'!$C$24</f>
        <v>ค่าครองชีพเจ้าหน้าที่รายเดือน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งปม.'!D25</f>
        <v>0</v>
      </c>
      <c r="F5" s="10">
        <f>'จัดสรร งปม.'!E25</f>
        <v>0</v>
      </c>
      <c r="G5" s="10">
        <f>'จัดสรร งปม.'!F25</f>
        <v>0</v>
      </c>
      <c r="H5" s="10">
        <f>'จัดสรร งปม.'!G25</f>
        <v>0</v>
      </c>
      <c r="I5" s="10">
        <f>'จัดสรร งปม.'!H25</f>
        <v>0</v>
      </c>
      <c r="J5" s="10">
        <f>'จัดสรร งปม.'!I25</f>
        <v>0</v>
      </c>
      <c r="K5" s="10">
        <f>'จัดสรร งปม.'!J25</f>
        <v>0</v>
      </c>
      <c r="L5" s="10">
        <f>'จัดสรร งปม.'!K25</f>
        <v>0</v>
      </c>
      <c r="M5" s="10"/>
      <c r="N5" s="10">
        <f>'จัดสรร งปม.'!L25</f>
        <v>0</v>
      </c>
      <c r="O5" s="10"/>
      <c r="P5" s="10">
        <f>'จัดสรร งปม.'!N25</f>
        <v>0</v>
      </c>
      <c r="Q5" s="10">
        <f>'จัดสรร งปม.'!P25</f>
        <v>0</v>
      </c>
      <c r="R5" s="10">
        <f>'จัดสรร งปม.'!Q25</f>
        <v>0</v>
      </c>
      <c r="S5" s="10">
        <f>'จัดสรร งปม.'!R25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งปม.'!$B$25</f>
        <v>210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งปม.'!$C$25</f>
        <v>สำรอง 1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งปม.'!D26</f>
        <v>0</v>
      </c>
      <c r="F5" s="10">
        <f>'จัดสรร งปม.'!E26</f>
        <v>0</v>
      </c>
      <c r="G5" s="10">
        <f>'จัดสรร งปม.'!F26</f>
        <v>0</v>
      </c>
      <c r="H5" s="10">
        <f>'จัดสรร งปม.'!G26</f>
        <v>0</v>
      </c>
      <c r="I5" s="10">
        <f>'จัดสรร งปม.'!H26</f>
        <v>0</v>
      </c>
      <c r="J5" s="10">
        <f>'จัดสรร งปม.'!I26</f>
        <v>0</v>
      </c>
      <c r="K5" s="10">
        <f>'จัดสรร งปม.'!J26</f>
        <v>0</v>
      </c>
      <c r="L5" s="10">
        <f>'จัดสรร งปม.'!K26</f>
        <v>0</v>
      </c>
      <c r="M5" s="10"/>
      <c r="N5" s="10">
        <f>'จัดสรร งปม.'!L26</f>
        <v>0</v>
      </c>
      <c r="O5" s="10"/>
      <c r="P5" s="10">
        <f>'จัดสรร งปม.'!N26</f>
        <v>0</v>
      </c>
      <c r="Q5" s="10">
        <f>'จัดสรร งปม.'!P26</f>
        <v>0</v>
      </c>
      <c r="R5" s="10">
        <f>'จัดสรร งปม.'!Q26</f>
        <v>0</v>
      </c>
      <c r="S5" s="10">
        <f>'จัดสรร งปม.'!R26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งปม.'!$B$26</f>
        <v>211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งปม.'!$C$26</f>
        <v>สำรอง 2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งปม.'!D27</f>
        <v>0</v>
      </c>
      <c r="F5" s="10">
        <f>'จัดสรร งปม.'!E27</f>
        <v>0</v>
      </c>
      <c r="G5" s="10">
        <f>'จัดสรร งปม.'!F27</f>
        <v>0</v>
      </c>
      <c r="H5" s="10">
        <f>'จัดสรร งปม.'!G27</f>
        <v>0</v>
      </c>
      <c r="I5" s="10">
        <f>'จัดสรร งปม.'!H27</f>
        <v>0</v>
      </c>
      <c r="J5" s="10">
        <f>'จัดสรร งปม.'!I27</f>
        <v>0</v>
      </c>
      <c r="K5" s="10">
        <f>'จัดสรร งปม.'!J27</f>
        <v>0</v>
      </c>
      <c r="L5" s="10">
        <f>'จัดสรร งปม.'!K27</f>
        <v>0</v>
      </c>
      <c r="M5" s="10"/>
      <c r="N5" s="10">
        <f>'จัดสรร งปม.'!L27</f>
        <v>0</v>
      </c>
      <c r="O5" s="10"/>
      <c r="P5" s="10">
        <f>'จัดสรร งปม.'!N27</f>
        <v>0</v>
      </c>
      <c r="Q5" s="10">
        <f>'จัดสรร งปม.'!P27</f>
        <v>0</v>
      </c>
      <c r="R5" s="10">
        <f>'จัดสรร งปม.'!Q27</f>
        <v>0</v>
      </c>
      <c r="S5" s="10">
        <f>'จัดสรร งปม.'!R27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งปม.'!$B$27</f>
        <v>212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งปม.'!$C$27</f>
        <v>สำรอง 3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งปม.'!D28</f>
        <v>0</v>
      </c>
      <c r="F5" s="10">
        <f>'จัดสรร งปม.'!E28</f>
        <v>0</v>
      </c>
      <c r="G5" s="10">
        <f>'จัดสรร งปม.'!F28</f>
        <v>0</v>
      </c>
      <c r="H5" s="10">
        <f>'จัดสรร งปม.'!G28</f>
        <v>0</v>
      </c>
      <c r="I5" s="10">
        <f>'จัดสรร งปม.'!H28</f>
        <v>0</v>
      </c>
      <c r="J5" s="10">
        <f>'จัดสรร งปม.'!I28</f>
        <v>0</v>
      </c>
      <c r="K5" s="10">
        <f>'จัดสรร งปม.'!J28</f>
        <v>0</v>
      </c>
      <c r="L5" s="10">
        <f>'จัดสรร งปม.'!K28</f>
        <v>0</v>
      </c>
      <c r="M5" s="10"/>
      <c r="N5" s="10">
        <f>'จัดสรร งปม.'!L28</f>
        <v>0</v>
      </c>
      <c r="O5" s="10"/>
      <c r="P5" s="10">
        <f>'จัดสรร งปม.'!N28</f>
        <v>0</v>
      </c>
      <c r="Q5" s="10">
        <f>'จัดสรร งปม.'!P28</f>
        <v>0</v>
      </c>
      <c r="R5" s="10">
        <f>'จัดสรร งปม.'!Q28</f>
        <v>0</v>
      </c>
      <c r="S5" s="10">
        <f>'จัดสรร งปม.'!R28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งปม.'!$B$28</f>
        <v>213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งปม.'!$C$28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งปม.'!D29</f>
        <v>0</v>
      </c>
      <c r="F5" s="10">
        <f>'จัดสรร งปม.'!E29</f>
        <v>0</v>
      </c>
      <c r="G5" s="10">
        <f>'จัดสรร งปม.'!F29</f>
        <v>0</v>
      </c>
      <c r="H5" s="10">
        <f>'จัดสรร งปม.'!G29</f>
        <v>0</v>
      </c>
      <c r="I5" s="10">
        <f>'จัดสรร งปม.'!H29</f>
        <v>0</v>
      </c>
      <c r="J5" s="10">
        <f>'จัดสรร งปม.'!I29</f>
        <v>0</v>
      </c>
      <c r="K5" s="10">
        <f>'จัดสรร งปม.'!J29</f>
        <v>0</v>
      </c>
      <c r="L5" s="10">
        <f>'จัดสรร งปม.'!K29</f>
        <v>0</v>
      </c>
      <c r="M5" s="10"/>
      <c r="N5" s="10">
        <f>'จัดสรร งปม.'!L29</f>
        <v>0</v>
      </c>
      <c r="O5" s="10"/>
      <c r="P5" s="10">
        <f>'จัดสรร งปม.'!N29</f>
        <v>0</v>
      </c>
      <c r="Q5" s="10">
        <f>'จัดสรร งปม.'!P29</f>
        <v>0</v>
      </c>
      <c r="R5" s="10">
        <f>'จัดสรร งปม.'!Q29</f>
        <v>0</v>
      </c>
      <c r="S5" s="10">
        <f>'จัดสรร งปม.'!R29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169" t="s">
        <v>153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งปม.'!$B$29</f>
        <v>214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งปม.'!$C$29</f>
        <v>สำรอง 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O3:P3"/>
    <mergeCell ref="B7:C7"/>
    <mergeCell ref="C9:G9"/>
    <mergeCell ref="H9:N9"/>
    <mergeCell ref="Q9:R9"/>
    <mergeCell ref="A1:B1"/>
    <mergeCell ref="E3:G3"/>
    <mergeCell ref="H3:N3"/>
    <mergeCell ref="Q3:R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งปม.'!D31</f>
        <v>0</v>
      </c>
      <c r="F5" s="10">
        <f>'จัดสรร งปม.'!E31</f>
        <v>0</v>
      </c>
      <c r="G5" s="10">
        <f>'จัดสรร งปม.'!F31</f>
        <v>0</v>
      </c>
      <c r="H5" s="10">
        <f>'จัดสรร งปม.'!G31</f>
        <v>0</v>
      </c>
      <c r="I5" s="10">
        <f>'จัดสรร งปม.'!H31</f>
        <v>0</v>
      </c>
      <c r="J5" s="10">
        <f>'จัดสรร งปม.'!I31</f>
        <v>0</v>
      </c>
      <c r="K5" s="10">
        <f>'จัดสรร งปม.'!J31</f>
        <v>0</v>
      </c>
      <c r="L5" s="10">
        <f>'จัดสรร งปม.'!K31</f>
        <v>0</v>
      </c>
      <c r="M5" s="10"/>
      <c r="N5" s="10">
        <f>'จัดสรร งปม.'!L31</f>
        <v>0</v>
      </c>
      <c r="O5" s="10"/>
      <c r="P5" s="10">
        <f>'จัดสรร งปม.'!N31</f>
        <v>0</v>
      </c>
      <c r="Q5" s="10">
        <f>'จัดสรร งปม.'!P31</f>
        <v>0</v>
      </c>
      <c r="R5" s="10">
        <f>'จัดสรร งปม.'!Q31</f>
        <v>0</v>
      </c>
      <c r="S5" s="10">
        <f>'จัดสรร งปม.'!R31</f>
        <v>0</v>
      </c>
    </row>
    <row r="6" spans="1:19" x14ac:dyDescent="0.3">
      <c r="D6" s="49" t="s">
        <v>94</v>
      </c>
      <c r="E6" s="10">
        <f>SUM(E11:E45)</f>
        <v>10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-10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-10</v>
      </c>
    </row>
    <row r="8" spans="1:19" x14ac:dyDescent="0.3">
      <c r="B8" s="49" t="s">
        <v>99</v>
      </c>
      <c r="C8" s="79">
        <f>'จัดสรร งปม.'!$B$31</f>
        <v>301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งปม.'!$C$31</f>
        <v>ค่าจ้างซ่อมครุภัณฑ์การศึกษาและสำนักงาน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8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งปม.'!D32</f>
        <v>0</v>
      </c>
      <c r="F5" s="10">
        <f>'จัดสรร งปม.'!E32</f>
        <v>0</v>
      </c>
      <c r="G5" s="10">
        <f>'จัดสรร งปม.'!F32</f>
        <v>4920</v>
      </c>
      <c r="H5" s="10">
        <f>'จัดสรร งปม.'!G32</f>
        <v>0</v>
      </c>
      <c r="I5" s="10">
        <f>'จัดสรร งปม.'!H32</f>
        <v>0</v>
      </c>
      <c r="J5" s="10">
        <f>'จัดสรร งปม.'!I32</f>
        <v>0</v>
      </c>
      <c r="K5" s="10">
        <f>'จัดสรร งปม.'!J32</f>
        <v>0</v>
      </c>
      <c r="L5" s="10">
        <f>'จัดสรร งปม.'!K32</f>
        <v>0</v>
      </c>
      <c r="M5" s="10"/>
      <c r="N5" s="10">
        <f>'จัดสรร งปม.'!L32</f>
        <v>0</v>
      </c>
      <c r="O5" s="10"/>
      <c r="P5" s="10">
        <f>'จัดสรร งปม.'!N32</f>
        <v>0</v>
      </c>
      <c r="Q5" s="10">
        <f>'จัดสรร งปม.'!P32</f>
        <v>0</v>
      </c>
      <c r="R5" s="10">
        <f>'จัดสรร งปม.'!Q32</f>
        <v>0</v>
      </c>
      <c r="S5" s="10">
        <f>'จัดสรร งปม.'!R32</f>
        <v>4920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4920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4920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งปม.'!$B$32</f>
        <v>302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งปม.'!$C$32</f>
        <v>ค่าซ่อมยานพาหนะ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tr">
        <f>+H4</f>
        <v>จัดการเรียน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1" t="s">
        <v>278</v>
      </c>
      <c r="C11" s="44" t="s">
        <v>259</v>
      </c>
      <c r="D11" s="90" t="s">
        <v>260</v>
      </c>
      <c r="E11" s="10"/>
      <c r="F11" s="10"/>
      <c r="G11" s="10">
        <v>4920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4920</v>
      </c>
    </row>
    <row r="12" spans="1:19" ht="21.75" x14ac:dyDescent="0.5">
      <c r="A12" s="42" t="s">
        <v>106</v>
      </c>
      <c r="B12" s="81"/>
      <c r="C12" s="44"/>
      <c r="D12" s="9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9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9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9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9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9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9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9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9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9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9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9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9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9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งปม.'!D33</f>
        <v>0</v>
      </c>
      <c r="F5" s="10">
        <f>'จัดสรร งปม.'!E33</f>
        <v>0</v>
      </c>
      <c r="G5" s="10">
        <f>'จัดสรร งปม.'!F33</f>
        <v>0</v>
      </c>
      <c r="H5" s="10">
        <f>'จัดสรร งปม.'!G33</f>
        <v>0</v>
      </c>
      <c r="I5" s="10">
        <f>'จัดสรร งปม.'!H33</f>
        <v>0</v>
      </c>
      <c r="J5" s="10">
        <f>'จัดสรร งปม.'!I33</f>
        <v>0</v>
      </c>
      <c r="K5" s="10">
        <f>'จัดสรร งปม.'!J33</f>
        <v>0</v>
      </c>
      <c r="L5" s="10">
        <f>'จัดสรร งปม.'!K33</f>
        <v>0</v>
      </c>
      <c r="M5" s="10"/>
      <c r="N5" s="10">
        <f>'จัดสรร งปม.'!L33</f>
        <v>0</v>
      </c>
      <c r="O5" s="10"/>
      <c r="P5" s="10">
        <f>'จัดสรร งปม.'!N33</f>
        <v>0</v>
      </c>
      <c r="Q5" s="10">
        <f>'จัดสรร งปม.'!P33</f>
        <v>0</v>
      </c>
      <c r="R5" s="10">
        <f>'จัดสรร งปม.'!Q33</f>
        <v>0</v>
      </c>
      <c r="S5" s="10">
        <f>'จัดสรร งปม.'!R33</f>
        <v>0</v>
      </c>
    </row>
    <row r="6" spans="1:19" x14ac:dyDescent="0.3">
      <c r="D6" s="49" t="s">
        <v>94</v>
      </c>
      <c r="E6" s="10">
        <f>SUM(E11:E45)</f>
        <v>30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-30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-30</v>
      </c>
    </row>
    <row r="8" spans="1:19" x14ac:dyDescent="0.3">
      <c r="B8" s="49" t="s">
        <v>99</v>
      </c>
      <c r="C8" s="79">
        <f>'จัดสรร งปม.'!$B$33</f>
        <v>303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งปม.'!$C$33</f>
        <v>ค่าจ้างติดตั้ง ซ่อมแซมระบบสาธารณูปโภค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30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งปม.'!D34</f>
        <v>0</v>
      </c>
      <c r="F5" s="10">
        <f>'จัดสรร งปม.'!E34</f>
        <v>0</v>
      </c>
      <c r="G5" s="10">
        <f>'จัดสรร งปม.'!F34</f>
        <v>48768.7</v>
      </c>
      <c r="H5" s="10">
        <f>'จัดสรร งปม.'!G34</f>
        <v>9670</v>
      </c>
      <c r="I5" s="10">
        <f>'จัดสรร งปม.'!H34</f>
        <v>0</v>
      </c>
      <c r="J5" s="10">
        <f>'จัดสรร งปม.'!I34</f>
        <v>0</v>
      </c>
      <c r="K5" s="10">
        <f>'จัดสรร งปม.'!J34</f>
        <v>0</v>
      </c>
      <c r="L5" s="10">
        <f>'จัดสรร งปม.'!K34</f>
        <v>0</v>
      </c>
      <c r="M5" s="10"/>
      <c r="N5" s="10">
        <f>'จัดสรร งปม.'!L34</f>
        <v>0</v>
      </c>
      <c r="O5" s="10"/>
      <c r="P5" s="10">
        <f>'จัดสรร งปม.'!N34</f>
        <v>0</v>
      </c>
      <c r="Q5" s="10">
        <f>'จัดสรร งปม.'!P34</f>
        <v>0</v>
      </c>
      <c r="R5" s="10">
        <f>'จัดสรร งปม.'!Q34</f>
        <v>0</v>
      </c>
      <c r="S5" s="10">
        <f>'จัดสรร งปม.'!R34</f>
        <v>58438.7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48768.7</v>
      </c>
      <c r="H6" s="10">
        <f t="shared" si="0"/>
        <v>9670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58438.7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งปม.'!$B$34</f>
        <v>304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งปม.'!$C$34</f>
        <v>ค่าจ้างซ่อมอาคารสถานที่/พัฒนาสิ่งแวดล้อม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279</v>
      </c>
      <c r="C11" s="90" t="s">
        <v>281</v>
      </c>
      <c r="D11" s="90" t="s">
        <v>284</v>
      </c>
      <c r="E11" s="10"/>
      <c r="F11" s="10"/>
      <c r="G11" s="10">
        <v>26650</v>
      </c>
      <c r="H11" s="3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26650</v>
      </c>
    </row>
    <row r="12" spans="1:19" x14ac:dyDescent="0.3">
      <c r="A12" s="88" t="s">
        <v>106</v>
      </c>
      <c r="B12" s="42" t="s">
        <v>279</v>
      </c>
      <c r="C12" s="90" t="s">
        <v>282</v>
      </c>
      <c r="D12" s="90" t="s">
        <v>284</v>
      </c>
      <c r="E12" s="10"/>
      <c r="F12" s="10"/>
      <c r="G12" s="10">
        <v>3275</v>
      </c>
      <c r="H12" s="3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3275</v>
      </c>
    </row>
    <row r="13" spans="1:19" x14ac:dyDescent="0.3">
      <c r="A13" s="88" t="s">
        <v>107</v>
      </c>
      <c r="B13" s="42" t="s">
        <v>279</v>
      </c>
      <c r="C13" s="90" t="s">
        <v>281</v>
      </c>
      <c r="D13" s="90" t="s">
        <v>284</v>
      </c>
      <c r="E13" s="10"/>
      <c r="F13" s="10"/>
      <c r="G13" s="10">
        <v>4640</v>
      </c>
      <c r="H13" s="96" t="s">
        <v>285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4640</v>
      </c>
    </row>
    <row r="14" spans="1:19" x14ac:dyDescent="0.3">
      <c r="A14" s="88" t="s">
        <v>108</v>
      </c>
      <c r="B14" s="42" t="s">
        <v>280</v>
      </c>
      <c r="C14" s="90" t="s">
        <v>281</v>
      </c>
      <c r="D14" s="90" t="s">
        <v>284</v>
      </c>
      <c r="E14" s="10"/>
      <c r="F14" s="10"/>
      <c r="G14" s="9">
        <v>12703.7</v>
      </c>
      <c r="H14" s="3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12703.7</v>
      </c>
    </row>
    <row r="15" spans="1:19" x14ac:dyDescent="0.3">
      <c r="A15" s="88" t="s">
        <v>109</v>
      </c>
      <c r="B15" s="42" t="s">
        <v>241</v>
      </c>
      <c r="C15" s="90" t="s">
        <v>281</v>
      </c>
      <c r="D15" s="90" t="s">
        <v>284</v>
      </c>
      <c r="E15" s="10"/>
      <c r="F15" s="10"/>
      <c r="G15" s="10">
        <v>1500</v>
      </c>
      <c r="H15" s="3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1500</v>
      </c>
    </row>
    <row r="16" spans="1:19" x14ac:dyDescent="0.3">
      <c r="A16" s="88" t="s">
        <v>110</v>
      </c>
      <c r="B16" s="42" t="s">
        <v>241</v>
      </c>
      <c r="C16" s="90" t="s">
        <v>283</v>
      </c>
      <c r="D16" s="90" t="s">
        <v>284</v>
      </c>
      <c r="E16" s="10"/>
      <c r="F16" s="10"/>
      <c r="G16" s="31"/>
      <c r="H16" s="10">
        <v>9670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9670</v>
      </c>
    </row>
    <row r="17" spans="1:19" ht="21.75" x14ac:dyDescent="0.5">
      <c r="A17" s="42" t="s">
        <v>111</v>
      </c>
      <c r="B17" s="42"/>
      <c r="C17" s="90"/>
      <c r="D17" s="9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  <pageSetup paperSize="9" orientation="portrait" r:id="rId7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2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งปม.'!D35</f>
        <v>0</v>
      </c>
      <c r="F5" s="10">
        <f>'จัดสรร งปม.'!E35</f>
        <v>0</v>
      </c>
      <c r="G5" s="10">
        <f>'จัดสรร งปม.'!F35</f>
        <v>27400</v>
      </c>
      <c r="H5" s="10">
        <f>'จัดสรร งปม.'!G35</f>
        <v>7780</v>
      </c>
      <c r="I5" s="10">
        <f>'จัดสรร งปม.'!H35</f>
        <v>0</v>
      </c>
      <c r="J5" s="10">
        <f>'จัดสรร งปม.'!I35</f>
        <v>0</v>
      </c>
      <c r="K5" s="10">
        <f>'จัดสรร งปม.'!J35</f>
        <v>197698</v>
      </c>
      <c r="L5" s="10">
        <f>'จัดสรร งปม.'!K35</f>
        <v>0</v>
      </c>
      <c r="M5" s="10"/>
      <c r="N5" s="10">
        <f>'จัดสรร งปม.'!L35</f>
        <v>0</v>
      </c>
      <c r="O5" s="10"/>
      <c r="P5" s="10">
        <f>'จัดสรร งปม.'!N35</f>
        <v>0</v>
      </c>
      <c r="Q5" s="10">
        <f>'จัดสรร งปม.'!P35</f>
        <v>71780</v>
      </c>
      <c r="R5" s="10">
        <f>'จัดสรร งปม.'!Q35</f>
        <v>0</v>
      </c>
      <c r="S5" s="10">
        <f>'จัดสรร งปม.'!R35</f>
        <v>304658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27400</v>
      </c>
      <c r="H6" s="10">
        <f t="shared" si="0"/>
        <v>7780</v>
      </c>
      <c r="I6" s="10">
        <f t="shared" si="0"/>
        <v>0</v>
      </c>
      <c r="J6" s="10">
        <f t="shared" si="0"/>
        <v>0</v>
      </c>
      <c r="K6" s="10">
        <f t="shared" si="0"/>
        <v>197698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71780</v>
      </c>
      <c r="R6" s="10">
        <f t="shared" si="0"/>
        <v>0</v>
      </c>
      <c r="S6" s="10">
        <f t="shared" si="0"/>
        <v>304658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งปม.'!$B$35</f>
        <v>305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งปม.'!$C$35</f>
        <v>ค่าเบี้ยเลี้ยง พาหนะเดินทาง และที่พัก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5" t="s">
        <v>261</v>
      </c>
      <c r="C11" s="86" t="s">
        <v>266</v>
      </c>
      <c r="D11" s="86" t="s">
        <v>274</v>
      </c>
      <c r="E11" s="10"/>
      <c r="F11" s="10"/>
      <c r="G11" s="10">
        <v>27400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27400</v>
      </c>
    </row>
    <row r="12" spans="1:19" x14ac:dyDescent="0.3">
      <c r="A12" s="88" t="s">
        <v>106</v>
      </c>
      <c r="B12" s="85" t="s">
        <v>262</v>
      </c>
      <c r="C12" s="86" t="s">
        <v>267</v>
      </c>
      <c r="D12" s="86" t="s">
        <v>275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63410</v>
      </c>
      <c r="R12" s="10"/>
      <c r="S12" s="10">
        <f t="shared" ref="S12:S45" si="2">SUM(E12:R12)</f>
        <v>63410</v>
      </c>
    </row>
    <row r="13" spans="1:19" x14ac:dyDescent="0.3">
      <c r="A13" s="88" t="s">
        <v>107</v>
      </c>
      <c r="B13" s="85" t="s">
        <v>241</v>
      </c>
      <c r="C13" s="86" t="s">
        <v>268</v>
      </c>
      <c r="D13" s="86" t="s">
        <v>276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8370</v>
      </c>
      <c r="R13" s="10"/>
      <c r="S13" s="10">
        <f t="shared" si="2"/>
        <v>8370</v>
      </c>
    </row>
    <row r="14" spans="1:19" x14ac:dyDescent="0.3">
      <c r="A14" s="88" t="s">
        <v>108</v>
      </c>
      <c r="B14" s="85" t="s">
        <v>263</v>
      </c>
      <c r="C14" s="86" t="s">
        <v>269</v>
      </c>
      <c r="D14" s="86" t="s">
        <v>243</v>
      </c>
      <c r="E14" s="10"/>
      <c r="F14" s="10"/>
      <c r="G14" s="10"/>
      <c r="H14" s="10"/>
      <c r="I14" s="10"/>
      <c r="J14" s="10"/>
      <c r="K14" s="10">
        <v>27980</v>
      </c>
      <c r="L14" s="10"/>
      <c r="M14" s="10"/>
      <c r="N14" s="10"/>
      <c r="O14" s="10"/>
      <c r="P14" s="10"/>
      <c r="Q14" s="10"/>
      <c r="R14" s="10"/>
      <c r="S14" s="10">
        <f t="shared" si="2"/>
        <v>27980</v>
      </c>
    </row>
    <row r="15" spans="1:19" x14ac:dyDescent="0.3">
      <c r="A15" s="88" t="s">
        <v>109</v>
      </c>
      <c r="B15" s="85" t="s">
        <v>264</v>
      </c>
      <c r="C15" s="86" t="s">
        <v>270</v>
      </c>
      <c r="D15" s="86" t="s">
        <v>6</v>
      </c>
      <c r="E15" s="10"/>
      <c r="F15" s="10"/>
      <c r="G15" s="10"/>
      <c r="H15" s="10"/>
      <c r="I15" s="10"/>
      <c r="J15" s="10"/>
      <c r="K15" s="10">
        <v>8880</v>
      </c>
      <c r="L15" s="10"/>
      <c r="M15" s="10"/>
      <c r="N15" s="10"/>
      <c r="O15" s="10"/>
      <c r="P15" s="10"/>
      <c r="Q15" s="10"/>
      <c r="R15" s="10"/>
      <c r="S15" s="10">
        <f t="shared" si="2"/>
        <v>8880</v>
      </c>
    </row>
    <row r="16" spans="1:19" x14ac:dyDescent="0.3">
      <c r="A16" s="88" t="s">
        <v>110</v>
      </c>
      <c r="B16" s="85" t="s">
        <v>264</v>
      </c>
      <c r="C16" s="86" t="s">
        <v>271</v>
      </c>
      <c r="D16" s="86" t="s">
        <v>6</v>
      </c>
      <c r="E16" s="10"/>
      <c r="F16" s="10"/>
      <c r="G16" s="10"/>
      <c r="H16" s="10"/>
      <c r="I16" s="10"/>
      <c r="J16" s="10"/>
      <c r="K16" s="10">
        <v>16440</v>
      </c>
      <c r="L16" s="10"/>
      <c r="M16" s="10"/>
      <c r="N16" s="10"/>
      <c r="O16" s="10"/>
      <c r="P16" s="10"/>
      <c r="Q16" s="10"/>
      <c r="R16" s="10"/>
      <c r="S16" s="10">
        <f t="shared" si="2"/>
        <v>16440</v>
      </c>
    </row>
    <row r="17" spans="1:19" x14ac:dyDescent="0.3">
      <c r="A17" s="88" t="s">
        <v>111</v>
      </c>
      <c r="B17" s="85" t="s">
        <v>265</v>
      </c>
      <c r="C17" s="86" t="s">
        <v>272</v>
      </c>
      <c r="D17" s="86" t="s">
        <v>277</v>
      </c>
      <c r="E17" s="10"/>
      <c r="F17" s="10"/>
      <c r="G17" s="10"/>
      <c r="H17" s="10">
        <v>2760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2760</v>
      </c>
    </row>
    <row r="18" spans="1:19" x14ac:dyDescent="0.3">
      <c r="A18" s="88" t="s">
        <v>112</v>
      </c>
      <c r="B18" s="85" t="s">
        <v>265</v>
      </c>
      <c r="C18" s="86" t="s">
        <v>273</v>
      </c>
      <c r="D18" s="86" t="s">
        <v>6</v>
      </c>
      <c r="E18" s="10"/>
      <c r="F18" s="10"/>
      <c r="G18" s="10"/>
      <c r="H18" s="10">
        <v>5020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5020</v>
      </c>
    </row>
    <row r="19" spans="1:19" x14ac:dyDescent="0.3">
      <c r="A19" s="88" t="s">
        <v>113</v>
      </c>
      <c r="B19" s="85" t="s">
        <v>289</v>
      </c>
      <c r="C19" s="86" t="s">
        <v>269</v>
      </c>
      <c r="D19" s="86" t="s">
        <v>243</v>
      </c>
      <c r="E19" s="10"/>
      <c r="F19" s="10"/>
      <c r="G19" s="10"/>
      <c r="H19" s="10"/>
      <c r="I19" s="10"/>
      <c r="J19" s="10"/>
      <c r="K19" s="10">
        <v>30040</v>
      </c>
      <c r="L19" s="10"/>
      <c r="M19" s="10"/>
      <c r="N19" s="10"/>
      <c r="O19" s="10"/>
      <c r="P19" s="10"/>
      <c r="Q19" s="10"/>
      <c r="R19" s="10"/>
      <c r="S19" s="10">
        <f t="shared" si="2"/>
        <v>30040</v>
      </c>
    </row>
    <row r="20" spans="1:19" x14ac:dyDescent="0.3">
      <c r="A20" s="88" t="s">
        <v>114</v>
      </c>
      <c r="B20" s="85" t="s">
        <v>289</v>
      </c>
      <c r="C20" s="86" t="s">
        <v>267</v>
      </c>
      <c r="D20" s="86" t="s">
        <v>6</v>
      </c>
      <c r="E20" s="10"/>
      <c r="F20" s="10"/>
      <c r="G20" s="10"/>
      <c r="H20" s="10"/>
      <c r="I20" s="10"/>
      <c r="J20" s="10"/>
      <c r="K20" s="10">
        <v>23500</v>
      </c>
      <c r="L20" s="10"/>
      <c r="M20" s="10"/>
      <c r="N20" s="10"/>
      <c r="O20" s="10"/>
      <c r="P20" s="10"/>
      <c r="Q20" s="10"/>
      <c r="R20" s="10"/>
      <c r="S20" s="10">
        <f t="shared" si="2"/>
        <v>23500</v>
      </c>
    </row>
    <row r="21" spans="1:19" x14ac:dyDescent="0.3">
      <c r="A21" s="88" t="s">
        <v>115</v>
      </c>
      <c r="B21" s="85" t="s">
        <v>289</v>
      </c>
      <c r="C21" s="86" t="s">
        <v>303</v>
      </c>
      <c r="D21" s="86" t="s">
        <v>6</v>
      </c>
      <c r="E21" s="10"/>
      <c r="F21" s="10"/>
      <c r="G21" s="10"/>
      <c r="H21" s="10"/>
      <c r="I21" s="10"/>
      <c r="J21" s="10"/>
      <c r="K21" s="10">
        <v>8740</v>
      </c>
      <c r="L21" s="10"/>
      <c r="M21" s="10"/>
      <c r="N21" s="10"/>
      <c r="O21" s="10"/>
      <c r="P21" s="10"/>
      <c r="Q21" s="10"/>
      <c r="R21" s="10"/>
      <c r="S21" s="10">
        <f t="shared" si="2"/>
        <v>8740</v>
      </c>
    </row>
    <row r="22" spans="1:19" x14ac:dyDescent="0.3">
      <c r="A22" s="88" t="s">
        <v>116</v>
      </c>
      <c r="B22" s="85" t="s">
        <v>289</v>
      </c>
      <c r="C22" s="90" t="s">
        <v>298</v>
      </c>
      <c r="D22" s="90" t="s">
        <v>6</v>
      </c>
      <c r="E22" s="91"/>
      <c r="F22" s="91"/>
      <c r="G22" s="91"/>
      <c r="H22" s="91"/>
      <c r="I22" s="91"/>
      <c r="J22" s="91"/>
      <c r="K22" s="91">
        <v>82118</v>
      </c>
      <c r="L22" s="91"/>
      <c r="M22" s="125"/>
      <c r="N22" s="91"/>
      <c r="O22" s="91"/>
      <c r="P22" s="91"/>
      <c r="Q22" s="91"/>
      <c r="R22" s="10"/>
      <c r="S22" s="10">
        <f t="shared" si="2"/>
        <v>82118</v>
      </c>
    </row>
    <row r="23" spans="1:19" ht="21.75" x14ac:dyDescent="0.5">
      <c r="A23" s="42" t="s">
        <v>117</v>
      </c>
      <c r="B23" s="42"/>
      <c r="C23" s="90"/>
      <c r="D23" s="90"/>
      <c r="E23" s="91"/>
      <c r="F23" s="91"/>
      <c r="G23" s="91"/>
      <c r="H23" s="91"/>
      <c r="I23" s="91"/>
      <c r="J23" s="91"/>
      <c r="K23" s="91"/>
      <c r="L23" s="91"/>
      <c r="M23" s="125"/>
      <c r="N23" s="91"/>
      <c r="O23" s="91"/>
      <c r="P23" s="91"/>
      <c r="Q23" s="91"/>
      <c r="R23" s="10"/>
      <c r="S23" s="10">
        <f t="shared" si="2"/>
        <v>0</v>
      </c>
    </row>
    <row r="24" spans="1:19" ht="21.75" x14ac:dyDescent="0.5">
      <c r="A24" s="42" t="s">
        <v>118</v>
      </c>
      <c r="B24" s="42"/>
      <c r="C24" s="90"/>
      <c r="D24" s="90"/>
      <c r="E24" s="91"/>
      <c r="F24" s="91"/>
      <c r="G24" s="91"/>
      <c r="H24" s="91"/>
      <c r="I24" s="91"/>
      <c r="J24" s="91"/>
      <c r="K24" s="91"/>
      <c r="L24" s="91"/>
      <c r="M24" s="125"/>
      <c r="N24" s="91"/>
      <c r="O24" s="91"/>
      <c r="P24" s="91"/>
      <c r="Q24" s="91"/>
      <c r="R24" s="10"/>
      <c r="S24" s="10">
        <f t="shared" si="2"/>
        <v>0</v>
      </c>
    </row>
    <row r="25" spans="1:19" ht="21.75" x14ac:dyDescent="0.5">
      <c r="A25" s="42" t="s">
        <v>119</v>
      </c>
      <c r="B25" s="42"/>
      <c r="C25" s="90"/>
      <c r="D25" s="90"/>
      <c r="E25" s="91"/>
      <c r="F25" s="91"/>
      <c r="G25" s="91"/>
      <c r="H25" s="91"/>
      <c r="I25" s="91"/>
      <c r="J25" s="91"/>
      <c r="K25" s="91"/>
      <c r="L25" s="91"/>
      <c r="M25" s="125"/>
      <c r="N25" s="91"/>
      <c r="O25" s="91"/>
      <c r="P25" s="91"/>
      <c r="Q25" s="91"/>
      <c r="R25" s="10"/>
      <c r="S25" s="10">
        <f t="shared" si="2"/>
        <v>0</v>
      </c>
    </row>
    <row r="26" spans="1:19" ht="21.75" x14ac:dyDescent="0.5">
      <c r="A26" s="42" t="s">
        <v>120</v>
      </c>
      <c r="B26" s="42"/>
      <c r="C26" s="90"/>
      <c r="D26" s="90"/>
      <c r="E26" s="91"/>
      <c r="F26" s="91"/>
      <c r="G26" s="91"/>
      <c r="H26" s="91"/>
      <c r="I26" s="91"/>
      <c r="J26" s="91"/>
      <c r="K26" s="91"/>
      <c r="L26" s="91"/>
      <c r="M26" s="125"/>
      <c r="N26" s="91"/>
      <c r="O26" s="91"/>
      <c r="P26" s="91"/>
      <c r="Q26" s="91"/>
      <c r="R26" s="10"/>
      <c r="S26" s="10">
        <f t="shared" si="2"/>
        <v>0</v>
      </c>
    </row>
    <row r="27" spans="1:19" ht="21.75" x14ac:dyDescent="0.5">
      <c r="A27" s="42" t="s">
        <v>121</v>
      </c>
      <c r="B27" s="42"/>
      <c r="C27" s="90"/>
      <c r="D27" s="90"/>
      <c r="E27" s="91"/>
      <c r="F27" s="91"/>
      <c r="G27" s="91"/>
      <c r="H27" s="91"/>
      <c r="I27" s="91"/>
      <c r="J27" s="91"/>
      <c r="K27" s="91"/>
      <c r="L27" s="91"/>
      <c r="M27" s="125"/>
      <c r="N27" s="91"/>
      <c r="O27" s="91"/>
      <c r="P27" s="91"/>
      <c r="Q27" s="91"/>
      <c r="R27" s="10"/>
      <c r="S27" s="10">
        <f t="shared" si="2"/>
        <v>0</v>
      </c>
    </row>
    <row r="28" spans="1:19" ht="21.75" x14ac:dyDescent="0.5">
      <c r="A28" s="42" t="s">
        <v>122</v>
      </c>
      <c r="B28" s="42"/>
      <c r="C28" s="90"/>
      <c r="D28" s="90"/>
      <c r="E28" s="91"/>
      <c r="F28" s="91"/>
      <c r="G28" s="91"/>
      <c r="H28" s="91"/>
      <c r="I28" s="91"/>
      <c r="J28" s="91"/>
      <c r="K28" s="91"/>
      <c r="L28" s="91"/>
      <c r="M28" s="125"/>
      <c r="N28" s="91"/>
      <c r="O28" s="91"/>
      <c r="P28" s="91"/>
      <c r="Q28" s="91"/>
      <c r="R28" s="10"/>
      <c r="S28" s="10">
        <f t="shared" si="2"/>
        <v>0</v>
      </c>
    </row>
    <row r="29" spans="1:19" ht="21.75" x14ac:dyDescent="0.5">
      <c r="A29" s="42" t="s">
        <v>123</v>
      </c>
      <c r="B29" s="42"/>
      <c r="C29" s="90"/>
      <c r="D29" s="90"/>
      <c r="E29" s="91"/>
      <c r="F29" s="91"/>
      <c r="G29" s="91"/>
      <c r="H29" s="91"/>
      <c r="I29" s="91"/>
      <c r="J29" s="91"/>
      <c r="K29" s="91"/>
      <c r="L29" s="91"/>
      <c r="M29" s="125"/>
      <c r="N29" s="91"/>
      <c r="O29" s="91"/>
      <c r="P29" s="91"/>
      <c r="Q29" s="91"/>
      <c r="R29" s="10"/>
      <c r="S29" s="10">
        <f t="shared" si="2"/>
        <v>0</v>
      </c>
    </row>
    <row r="30" spans="1:19" ht="21.75" x14ac:dyDescent="0.5">
      <c r="A30" s="42" t="s">
        <v>124</v>
      </c>
      <c r="B30" s="42"/>
      <c r="C30" s="90"/>
      <c r="D30" s="90"/>
      <c r="E30" s="91"/>
      <c r="F30" s="91"/>
      <c r="G30" s="91"/>
      <c r="H30" s="91"/>
      <c r="I30" s="91"/>
      <c r="J30" s="91"/>
      <c r="K30" s="91"/>
      <c r="L30" s="91"/>
      <c r="M30" s="125"/>
      <c r="N30" s="91"/>
      <c r="O30" s="91"/>
      <c r="P30" s="91"/>
      <c r="Q30" s="91"/>
      <c r="R30" s="10"/>
      <c r="S30" s="10">
        <f t="shared" si="2"/>
        <v>0</v>
      </c>
    </row>
    <row r="31" spans="1:19" ht="21.75" x14ac:dyDescent="0.5">
      <c r="A31" s="42" t="s">
        <v>125</v>
      </c>
      <c r="B31" s="42"/>
      <c r="C31" s="90"/>
      <c r="D31" s="90"/>
      <c r="E31" s="91"/>
      <c r="F31" s="91"/>
      <c r="G31" s="91"/>
      <c r="H31" s="91"/>
      <c r="I31" s="91"/>
      <c r="J31" s="91"/>
      <c r="K31" s="91"/>
      <c r="L31" s="91"/>
      <c r="M31" s="125"/>
      <c r="N31" s="91"/>
      <c r="O31" s="91"/>
      <c r="P31" s="91"/>
      <c r="Q31" s="91"/>
      <c r="R31" s="10"/>
      <c r="S31" s="10">
        <f t="shared" si="2"/>
        <v>0</v>
      </c>
    </row>
    <row r="32" spans="1:19" ht="21.75" x14ac:dyDescent="0.5">
      <c r="A32" s="42" t="s">
        <v>126</v>
      </c>
      <c r="B32" s="42"/>
      <c r="C32" s="90"/>
      <c r="D32" s="90"/>
      <c r="E32" s="91"/>
      <c r="F32" s="91"/>
      <c r="G32" s="91"/>
      <c r="H32" s="91"/>
      <c r="I32" s="91"/>
      <c r="J32" s="91"/>
      <c r="K32" s="91"/>
      <c r="L32" s="91"/>
      <c r="M32" s="125"/>
      <c r="N32" s="91"/>
      <c r="O32" s="91"/>
      <c r="P32" s="91"/>
      <c r="Q32" s="91"/>
      <c r="R32" s="10"/>
      <c r="S32" s="10">
        <f t="shared" si="2"/>
        <v>0</v>
      </c>
    </row>
    <row r="33" spans="1:19" x14ac:dyDescent="0.3">
      <c r="A33" s="42" t="s">
        <v>127</v>
      </c>
      <c r="B33" s="42"/>
      <c r="C33" s="90"/>
      <c r="D33" s="90"/>
      <c r="E33" s="91"/>
      <c r="F33" s="91"/>
      <c r="G33" s="91"/>
      <c r="H33" s="91"/>
      <c r="I33" s="91"/>
      <c r="J33" s="91"/>
      <c r="K33" s="91"/>
      <c r="L33" s="91"/>
      <c r="M33" s="125"/>
      <c r="N33" s="91"/>
      <c r="O33" s="91"/>
      <c r="P33" s="91"/>
      <c r="Q33" s="91"/>
      <c r="R33" s="10"/>
      <c r="S33" s="10">
        <f t="shared" si="2"/>
        <v>0</v>
      </c>
    </row>
    <row r="34" spans="1:19" x14ac:dyDescent="0.3">
      <c r="A34" s="42" t="s">
        <v>128</v>
      </c>
      <c r="B34" s="42"/>
      <c r="C34" s="90"/>
      <c r="D34" s="90"/>
      <c r="E34" s="91"/>
      <c r="F34" s="91"/>
      <c r="G34" s="91"/>
      <c r="H34" s="91"/>
      <c r="I34" s="91"/>
      <c r="J34" s="91"/>
      <c r="K34" s="91"/>
      <c r="L34" s="91"/>
      <c r="M34" s="125"/>
      <c r="N34" s="91"/>
      <c r="O34" s="91"/>
      <c r="P34" s="91"/>
      <c r="Q34" s="91"/>
      <c r="R34" s="10"/>
      <c r="S34" s="10">
        <f t="shared" si="2"/>
        <v>0</v>
      </c>
    </row>
    <row r="35" spans="1:19" x14ac:dyDescent="0.3">
      <c r="A35" s="42" t="s">
        <v>129</v>
      </c>
      <c r="B35" s="42"/>
      <c r="C35" s="90"/>
      <c r="D35" s="90"/>
      <c r="E35" s="91"/>
      <c r="F35" s="91"/>
      <c r="G35" s="91"/>
      <c r="H35" s="91"/>
      <c r="I35" s="91"/>
      <c r="J35" s="91"/>
      <c r="K35" s="91"/>
      <c r="L35" s="91"/>
      <c r="M35" s="125"/>
      <c r="N35" s="91"/>
      <c r="O35" s="91"/>
      <c r="P35" s="91"/>
      <c r="Q35" s="91"/>
      <c r="R35" s="10"/>
      <c r="S35" s="10">
        <f t="shared" si="2"/>
        <v>0</v>
      </c>
    </row>
    <row r="36" spans="1:19" x14ac:dyDescent="0.3">
      <c r="A36" s="42" t="s">
        <v>130</v>
      </c>
      <c r="B36" s="42"/>
      <c r="C36" s="90"/>
      <c r="D36" s="90"/>
      <c r="E36" s="91"/>
      <c r="F36" s="91"/>
      <c r="G36" s="91"/>
      <c r="H36" s="91"/>
      <c r="I36" s="91"/>
      <c r="J36" s="91"/>
      <c r="K36" s="91"/>
      <c r="L36" s="91"/>
      <c r="M36" s="125"/>
      <c r="N36" s="91"/>
      <c r="O36" s="91"/>
      <c r="P36" s="91"/>
      <c r="Q36" s="91"/>
      <c r="R36" s="10"/>
      <c r="S36" s="10">
        <f t="shared" si="2"/>
        <v>0</v>
      </c>
    </row>
    <row r="37" spans="1:19" x14ac:dyDescent="0.3">
      <c r="A37" s="42" t="s">
        <v>131</v>
      </c>
      <c r="B37" s="42"/>
      <c r="C37" s="90"/>
      <c r="D37" s="90"/>
      <c r="E37" s="91"/>
      <c r="F37" s="91"/>
      <c r="G37" s="91"/>
      <c r="H37" s="91"/>
      <c r="I37" s="91"/>
      <c r="J37" s="91"/>
      <c r="K37" s="91"/>
      <c r="L37" s="91"/>
      <c r="M37" s="125"/>
      <c r="N37" s="91"/>
      <c r="O37" s="91"/>
      <c r="P37" s="91"/>
      <c r="Q37" s="91"/>
      <c r="R37" s="10"/>
      <c r="S37" s="10">
        <f t="shared" si="2"/>
        <v>0</v>
      </c>
    </row>
    <row r="38" spans="1:19" x14ac:dyDescent="0.3">
      <c r="A38" s="42" t="s">
        <v>132</v>
      </c>
      <c r="B38" s="42"/>
      <c r="C38" s="90"/>
      <c r="D38" s="90"/>
      <c r="E38" s="91"/>
      <c r="F38" s="91"/>
      <c r="G38" s="91"/>
      <c r="H38" s="91"/>
      <c r="I38" s="91"/>
      <c r="J38" s="91"/>
      <c r="K38" s="91"/>
      <c r="L38" s="91"/>
      <c r="M38" s="125"/>
      <c r="N38" s="91"/>
      <c r="O38" s="91"/>
      <c r="P38" s="91"/>
      <c r="Q38" s="91"/>
      <c r="R38" s="10"/>
      <c r="S38" s="10">
        <f t="shared" si="2"/>
        <v>0</v>
      </c>
    </row>
    <row r="39" spans="1:19" x14ac:dyDescent="0.3">
      <c r="A39" s="42" t="s">
        <v>133</v>
      </c>
      <c r="B39" s="42"/>
      <c r="C39" s="90"/>
      <c r="D39" s="90"/>
      <c r="E39" s="91"/>
      <c r="F39" s="91"/>
      <c r="G39" s="91"/>
      <c r="H39" s="91"/>
      <c r="I39" s="91"/>
      <c r="J39" s="91"/>
      <c r="K39" s="91"/>
      <c r="L39" s="91"/>
      <c r="M39" s="125"/>
      <c r="N39" s="91"/>
      <c r="O39" s="91"/>
      <c r="P39" s="91"/>
      <c r="Q39" s="91"/>
      <c r="R39" s="10"/>
      <c r="S39" s="10">
        <f t="shared" si="2"/>
        <v>0</v>
      </c>
    </row>
    <row r="40" spans="1:19" x14ac:dyDescent="0.3">
      <c r="A40" s="42" t="s">
        <v>124</v>
      </c>
      <c r="B40" s="42"/>
      <c r="C40" s="90"/>
      <c r="D40" s="90"/>
      <c r="E40" s="91"/>
      <c r="F40" s="91"/>
      <c r="G40" s="91"/>
      <c r="H40" s="91"/>
      <c r="I40" s="91"/>
      <c r="J40" s="91"/>
      <c r="K40" s="91"/>
      <c r="L40" s="91"/>
      <c r="M40" s="125"/>
      <c r="N40" s="91"/>
      <c r="O40" s="91"/>
      <c r="P40" s="91"/>
      <c r="Q40" s="91"/>
      <c r="R40" s="10"/>
      <c r="S40" s="10">
        <f t="shared" si="2"/>
        <v>0</v>
      </c>
    </row>
    <row r="41" spans="1:19" x14ac:dyDescent="0.3">
      <c r="A41" s="42" t="s">
        <v>134</v>
      </c>
      <c r="B41" s="42"/>
      <c r="C41" s="90"/>
      <c r="D41" s="90"/>
      <c r="E41" s="91"/>
      <c r="F41" s="91"/>
      <c r="G41" s="91"/>
      <c r="H41" s="91"/>
      <c r="I41" s="91"/>
      <c r="J41" s="91"/>
      <c r="K41" s="91"/>
      <c r="L41" s="91"/>
      <c r="M41" s="125"/>
      <c r="N41" s="91"/>
      <c r="O41" s="91"/>
      <c r="P41" s="91"/>
      <c r="Q41" s="91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  <hyperlink ref="A19" r:id="rId9"/>
    <hyperlink ref="A20" r:id="rId10"/>
    <hyperlink ref="A21" r:id="rId11"/>
    <hyperlink ref="A22" r:id="rId12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งปม.'!D36</f>
        <v>24040</v>
      </c>
      <c r="F5" s="10">
        <f>'จัดสรร งปม.'!E36</f>
        <v>0</v>
      </c>
      <c r="G5" s="10">
        <f>'จัดสรร งปม.'!F36</f>
        <v>0</v>
      </c>
      <c r="H5" s="10">
        <f>'จัดสรร งปม.'!G36</f>
        <v>0</v>
      </c>
      <c r="I5" s="10">
        <f>'จัดสรร งปม.'!H36</f>
        <v>0</v>
      </c>
      <c r="J5" s="10">
        <f>'จัดสรร งปม.'!I36</f>
        <v>0</v>
      </c>
      <c r="K5" s="10">
        <f>'จัดสรร งปม.'!J36</f>
        <v>0</v>
      </c>
      <c r="L5" s="10">
        <f>'จัดสรร งปม.'!K36</f>
        <v>0</v>
      </c>
      <c r="M5" s="10"/>
      <c r="N5" s="10">
        <f>'จัดสรร งปม.'!L36</f>
        <v>0</v>
      </c>
      <c r="O5" s="10"/>
      <c r="P5" s="10">
        <f>'จัดสรร งปม.'!N36</f>
        <v>0</v>
      </c>
      <c r="Q5" s="10">
        <f>'จัดสรร งปม.'!P36</f>
        <v>0</v>
      </c>
      <c r="R5" s="10">
        <f>'จัดสรร งปม.'!Q36</f>
        <v>0</v>
      </c>
      <c r="S5" s="10">
        <f>'จัดสรร งปม.'!R36</f>
        <v>24040</v>
      </c>
    </row>
    <row r="6" spans="1:19" x14ac:dyDescent="0.3">
      <c r="D6" s="49" t="s">
        <v>94</v>
      </c>
      <c r="E6" s="10">
        <f>SUM(E11:E45)</f>
        <v>23450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23450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590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590</v>
      </c>
    </row>
    <row r="8" spans="1:19" x14ac:dyDescent="0.3">
      <c r="B8" s="49" t="s">
        <v>99</v>
      </c>
      <c r="C8" s="79">
        <f>'จัดสรร งปม.'!$B$36</f>
        <v>306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งปม.'!$C$36</f>
        <v>ค่าสมทบประกันสังคม(พนักงานราชการ)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236</v>
      </c>
      <c r="C11" s="90" t="s">
        <v>239</v>
      </c>
      <c r="D11" s="90" t="s">
        <v>240</v>
      </c>
      <c r="E11" s="10">
        <v>2250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2250</v>
      </c>
    </row>
    <row r="12" spans="1:19" x14ac:dyDescent="0.3">
      <c r="A12" s="88" t="s">
        <v>106</v>
      </c>
      <c r="B12" s="42" t="s">
        <v>286</v>
      </c>
      <c r="C12" s="90" t="s">
        <v>239</v>
      </c>
      <c r="D12" s="90" t="s">
        <v>240</v>
      </c>
      <c r="E12" s="10">
        <v>2250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2250</v>
      </c>
    </row>
    <row r="13" spans="1:19" x14ac:dyDescent="0.3">
      <c r="A13" s="88" t="s">
        <v>107</v>
      </c>
      <c r="B13" s="42" t="s">
        <v>245</v>
      </c>
      <c r="C13" s="90" t="s">
        <v>239</v>
      </c>
      <c r="D13" s="90" t="s">
        <v>240</v>
      </c>
      <c r="E13" s="10">
        <v>4500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4500</v>
      </c>
    </row>
    <row r="14" spans="1:19" x14ac:dyDescent="0.3">
      <c r="A14" s="88" t="s">
        <v>108</v>
      </c>
      <c r="B14" s="42" t="s">
        <v>287</v>
      </c>
      <c r="C14" s="90" t="s">
        <v>239</v>
      </c>
      <c r="D14" s="90" t="s">
        <v>240</v>
      </c>
      <c r="E14" s="10">
        <v>980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980</v>
      </c>
    </row>
    <row r="15" spans="1:19" x14ac:dyDescent="0.3">
      <c r="A15" s="88" t="s">
        <v>109</v>
      </c>
      <c r="B15" s="42" t="s">
        <v>288</v>
      </c>
      <c r="C15" s="90" t="s">
        <v>239</v>
      </c>
      <c r="D15" s="90" t="s">
        <v>240</v>
      </c>
      <c r="E15" s="10">
        <v>4500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4500</v>
      </c>
    </row>
    <row r="16" spans="1:19" x14ac:dyDescent="0.3">
      <c r="A16" s="88" t="s">
        <v>110</v>
      </c>
      <c r="B16" s="42" t="s">
        <v>246</v>
      </c>
      <c r="C16" s="90" t="s">
        <v>239</v>
      </c>
      <c r="D16" s="90" t="s">
        <v>240</v>
      </c>
      <c r="E16" s="10">
        <v>490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490</v>
      </c>
    </row>
    <row r="17" spans="1:19" x14ac:dyDescent="0.3">
      <c r="A17" s="88" t="s">
        <v>111</v>
      </c>
      <c r="B17" s="42" t="s">
        <v>289</v>
      </c>
      <c r="C17" s="90" t="s">
        <v>239</v>
      </c>
      <c r="D17" s="90" t="s">
        <v>240</v>
      </c>
      <c r="E17" s="10">
        <v>4500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4500</v>
      </c>
    </row>
    <row r="18" spans="1:19" x14ac:dyDescent="0.3">
      <c r="A18" s="88" t="s">
        <v>112</v>
      </c>
      <c r="B18" s="42" t="s">
        <v>289</v>
      </c>
      <c r="C18" s="90" t="s">
        <v>239</v>
      </c>
      <c r="D18" s="90" t="s">
        <v>240</v>
      </c>
      <c r="E18" s="10">
        <v>490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490</v>
      </c>
    </row>
    <row r="19" spans="1:19" x14ac:dyDescent="0.3">
      <c r="A19" s="88" t="s">
        <v>113</v>
      </c>
      <c r="B19" s="42" t="s">
        <v>373</v>
      </c>
      <c r="C19" s="123" t="s">
        <v>239</v>
      </c>
      <c r="D19" s="123" t="s">
        <v>240</v>
      </c>
      <c r="E19" s="10">
        <v>490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490</v>
      </c>
    </row>
    <row r="20" spans="1:19" x14ac:dyDescent="0.3">
      <c r="A20" s="88" t="s">
        <v>114</v>
      </c>
      <c r="B20" s="42" t="s">
        <v>373</v>
      </c>
      <c r="C20" s="123" t="s">
        <v>239</v>
      </c>
      <c r="D20" s="123" t="s">
        <v>240</v>
      </c>
      <c r="E20" s="10">
        <v>750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750</v>
      </c>
    </row>
    <row r="21" spans="1:19" x14ac:dyDescent="0.3">
      <c r="A21" s="88" t="s">
        <v>115</v>
      </c>
      <c r="B21" s="42" t="s">
        <v>378</v>
      </c>
      <c r="C21" s="90" t="s">
        <v>239</v>
      </c>
      <c r="D21" s="90" t="s">
        <v>240</v>
      </c>
      <c r="E21" s="10">
        <v>2250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2250</v>
      </c>
    </row>
    <row r="22" spans="1:19" ht="21.75" x14ac:dyDescent="0.5">
      <c r="A22" s="42" t="s">
        <v>116</v>
      </c>
      <c r="B22" s="42"/>
      <c r="C22" s="90"/>
      <c r="D22" s="9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90"/>
      <c r="D23" s="9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42"/>
      <c r="C24" s="90"/>
      <c r="D24" s="9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42"/>
      <c r="C25" s="90"/>
      <c r="D25" s="9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42"/>
      <c r="C26" s="90"/>
      <c r="D26" s="9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5" r:id="rId4"/>
    <hyperlink ref="A14" r:id="rId5"/>
    <hyperlink ref="A16" r:id="rId6"/>
    <hyperlink ref="A17" r:id="rId7"/>
    <hyperlink ref="A18" r:id="rId8"/>
    <hyperlink ref="A19" r:id="rId9"/>
    <hyperlink ref="A20" r:id="rId10"/>
    <hyperlink ref="A21" r:id="rId1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7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งปม.'!D37</f>
        <v>0</v>
      </c>
      <c r="F5" s="10">
        <f>'จัดสรร งปม.'!E37</f>
        <v>0</v>
      </c>
      <c r="G5" s="10">
        <f>'จัดสรร งปม.'!F37</f>
        <v>0</v>
      </c>
      <c r="H5" s="10">
        <f>'จัดสรร งปม.'!G37</f>
        <v>64018</v>
      </c>
      <c r="I5" s="10">
        <f>'จัดสรร งปม.'!H37</f>
        <v>0</v>
      </c>
      <c r="J5" s="10">
        <f>'จัดสรร งปม.'!I37</f>
        <v>0</v>
      </c>
      <c r="K5" s="10">
        <f>'จัดสรร งปม.'!J37</f>
        <v>0</v>
      </c>
      <c r="L5" s="10">
        <f>'จัดสรร งปม.'!K37</f>
        <v>0</v>
      </c>
      <c r="M5" s="10"/>
      <c r="N5" s="10">
        <f>'จัดสรร งปม.'!L37</f>
        <v>0</v>
      </c>
      <c r="O5" s="10"/>
      <c r="P5" s="10">
        <f>'จัดสรร งปม.'!N37</f>
        <v>0</v>
      </c>
      <c r="Q5" s="10">
        <f>'จัดสรร งปม.'!P37</f>
        <v>0</v>
      </c>
      <c r="R5" s="10">
        <f>'จัดสรร งปม.'!Q37</f>
        <v>0</v>
      </c>
      <c r="S5" s="10">
        <f>'จัดสรร งปม.'!R37</f>
        <v>64018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64018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64018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งปม.'!$B$37</f>
        <v>307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งปม.'!$C$37</f>
        <v>ค่าสมทบประกันสังคม(ครูรายเดือน)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tr">
        <f>+H4</f>
        <v>จัดการเรียน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93" t="s">
        <v>105</v>
      </c>
      <c r="B11" s="42" t="s">
        <v>244</v>
      </c>
      <c r="C11" s="90" t="s">
        <v>248</v>
      </c>
      <c r="D11" s="90" t="s">
        <v>240</v>
      </c>
      <c r="E11" s="10"/>
      <c r="F11" s="10"/>
      <c r="G11" s="10"/>
      <c r="H11" s="10">
        <v>5963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5963</v>
      </c>
    </row>
    <row r="12" spans="1:19" x14ac:dyDescent="0.3">
      <c r="A12" s="93" t="s">
        <v>106</v>
      </c>
      <c r="B12" s="42" t="s">
        <v>244</v>
      </c>
      <c r="C12" s="90" t="s">
        <v>248</v>
      </c>
      <c r="D12" s="90" t="s">
        <v>240</v>
      </c>
      <c r="E12" s="10"/>
      <c r="F12" s="10"/>
      <c r="G12" s="10"/>
      <c r="H12" s="10">
        <v>6522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6522</v>
      </c>
    </row>
    <row r="13" spans="1:19" x14ac:dyDescent="0.3">
      <c r="A13" s="93" t="s">
        <v>107</v>
      </c>
      <c r="B13" s="42" t="s">
        <v>245</v>
      </c>
      <c r="C13" s="90" t="s">
        <v>248</v>
      </c>
      <c r="D13" s="90" t="s">
        <v>240</v>
      </c>
      <c r="E13" s="10"/>
      <c r="F13" s="10"/>
      <c r="G13" s="10"/>
      <c r="H13" s="10">
        <v>13027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13027</v>
      </c>
    </row>
    <row r="14" spans="1:19" x14ac:dyDescent="0.3">
      <c r="A14" s="88" t="s">
        <v>108</v>
      </c>
      <c r="B14" s="42" t="s">
        <v>246</v>
      </c>
      <c r="C14" s="90" t="s">
        <v>248</v>
      </c>
      <c r="D14" s="90" t="s">
        <v>240</v>
      </c>
      <c r="E14" s="10"/>
      <c r="F14" s="10"/>
      <c r="G14" s="10"/>
      <c r="H14" s="10">
        <v>13027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13027</v>
      </c>
    </row>
    <row r="15" spans="1:19" x14ac:dyDescent="0.3">
      <c r="A15" s="88" t="s">
        <v>109</v>
      </c>
      <c r="B15" s="42" t="s">
        <v>289</v>
      </c>
      <c r="C15" s="90" t="s">
        <v>248</v>
      </c>
      <c r="D15" s="90" t="s">
        <v>240</v>
      </c>
      <c r="E15" s="10"/>
      <c r="F15" s="10"/>
      <c r="G15" s="10"/>
      <c r="H15" s="10">
        <v>13027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13027</v>
      </c>
    </row>
    <row r="16" spans="1:19" x14ac:dyDescent="0.3">
      <c r="A16" s="88" t="s">
        <v>110</v>
      </c>
      <c r="B16" s="42" t="s">
        <v>387</v>
      </c>
      <c r="C16" s="90" t="s">
        <v>248</v>
      </c>
      <c r="D16" s="90" t="s">
        <v>240</v>
      </c>
      <c r="E16" s="10"/>
      <c r="F16" s="10"/>
      <c r="G16" s="10"/>
      <c r="H16" s="10">
        <v>12452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12452</v>
      </c>
    </row>
    <row r="17" spans="1:19" ht="21.75" x14ac:dyDescent="0.5">
      <c r="A17" s="42" t="s">
        <v>111</v>
      </c>
      <c r="B17" s="42"/>
      <c r="C17" s="90"/>
      <c r="D17" s="9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90"/>
      <c r="D18" s="9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90"/>
      <c r="D19" s="9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90"/>
      <c r="D20" s="9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90"/>
      <c r="D21" s="9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90"/>
      <c r="D22" s="9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90"/>
      <c r="D23" s="9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42"/>
      <c r="C24" s="90"/>
      <c r="D24" s="9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42"/>
      <c r="C25" s="90"/>
      <c r="D25" s="9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42"/>
      <c r="C26" s="90"/>
      <c r="D26" s="9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งปม.'!D38</f>
        <v>0</v>
      </c>
      <c r="F5" s="10">
        <f>'จัดสรร งปม.'!E38</f>
        <v>0</v>
      </c>
      <c r="G5" s="10">
        <f>'จัดสรร งปม.'!F38</f>
        <v>0</v>
      </c>
      <c r="H5" s="10">
        <f>'จัดสรร งปม.'!G38</f>
        <v>40178</v>
      </c>
      <c r="I5" s="10">
        <f>'จัดสรร งปม.'!H38</f>
        <v>0</v>
      </c>
      <c r="J5" s="10">
        <f>'จัดสรร งปม.'!I38</f>
        <v>0</v>
      </c>
      <c r="K5" s="10">
        <f>'จัดสรร งปม.'!J38</f>
        <v>0</v>
      </c>
      <c r="L5" s="10">
        <f>'จัดสรร งปม.'!K38</f>
        <v>0</v>
      </c>
      <c r="M5" s="10"/>
      <c r="N5" s="10">
        <f>'จัดสรร งปม.'!L38</f>
        <v>0</v>
      </c>
      <c r="O5" s="10"/>
      <c r="P5" s="10">
        <f>'จัดสรร งปม.'!N38</f>
        <v>0</v>
      </c>
      <c r="Q5" s="10">
        <f>'จัดสรร งปม.'!P38</f>
        <v>0</v>
      </c>
      <c r="R5" s="10">
        <f>'จัดสรร งปม.'!Q38</f>
        <v>0</v>
      </c>
      <c r="S5" s="10">
        <f>'จัดสรร งปม.'!R38</f>
        <v>40178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40178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40178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งปม.'!$B$38</f>
        <v>308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งปม.'!$C$38</f>
        <v>ค่าสมทบประกันสังคม(เจ้าหน้าที่รายเดือน)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247</v>
      </c>
      <c r="C11" s="90" t="s">
        <v>239</v>
      </c>
      <c r="D11" s="90" t="s">
        <v>240</v>
      </c>
      <c r="E11" s="10"/>
      <c r="F11" s="10"/>
      <c r="G11" s="10"/>
      <c r="H11" s="10">
        <v>4278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4278</v>
      </c>
    </row>
    <row r="12" spans="1:19" x14ac:dyDescent="0.3">
      <c r="A12" s="88" t="s">
        <v>106</v>
      </c>
      <c r="B12" s="42" t="s">
        <v>247</v>
      </c>
      <c r="C12" s="90" t="s">
        <v>239</v>
      </c>
      <c r="D12" s="90" t="s">
        <v>240</v>
      </c>
      <c r="E12" s="10"/>
      <c r="F12" s="10"/>
      <c r="G12" s="10"/>
      <c r="H12" s="10">
        <v>4180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4180</v>
      </c>
    </row>
    <row r="13" spans="1:19" x14ac:dyDescent="0.3">
      <c r="A13" s="88" t="s">
        <v>107</v>
      </c>
      <c r="B13" s="42" t="s">
        <v>245</v>
      </c>
      <c r="C13" s="90" t="s">
        <v>239</v>
      </c>
      <c r="D13" s="90" t="s">
        <v>240</v>
      </c>
      <c r="E13" s="10"/>
      <c r="F13" s="10"/>
      <c r="G13" s="10"/>
      <c r="H13" s="10">
        <v>8484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8484</v>
      </c>
    </row>
    <row r="14" spans="1:19" x14ac:dyDescent="0.3">
      <c r="A14" s="88" t="s">
        <v>108</v>
      </c>
      <c r="B14" s="42" t="s">
        <v>290</v>
      </c>
      <c r="C14" s="90" t="s">
        <v>239</v>
      </c>
      <c r="D14" s="90" t="s">
        <v>240</v>
      </c>
      <c r="E14" s="10"/>
      <c r="F14" s="10"/>
      <c r="G14" s="10"/>
      <c r="H14" s="10">
        <v>7816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7816</v>
      </c>
    </row>
    <row r="15" spans="1:19" x14ac:dyDescent="0.3">
      <c r="A15" s="88" t="s">
        <v>109</v>
      </c>
      <c r="B15" s="42" t="s">
        <v>289</v>
      </c>
      <c r="C15" s="90" t="s">
        <v>239</v>
      </c>
      <c r="D15" s="90" t="s">
        <v>240</v>
      </c>
      <c r="E15" s="10"/>
      <c r="F15" s="10"/>
      <c r="G15" s="10"/>
      <c r="H15" s="10">
        <v>7962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7962</v>
      </c>
    </row>
    <row r="16" spans="1:19" x14ac:dyDescent="0.3">
      <c r="A16" s="93" t="s">
        <v>110</v>
      </c>
      <c r="B16" s="42" t="s">
        <v>387</v>
      </c>
      <c r="C16" s="90" t="s">
        <v>239</v>
      </c>
      <c r="D16" s="90" t="s">
        <v>240</v>
      </c>
      <c r="E16" s="10"/>
      <c r="F16" s="10"/>
      <c r="G16" s="10"/>
      <c r="H16" s="10">
        <v>7458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7458</v>
      </c>
    </row>
    <row r="17" spans="1:19" ht="21.75" x14ac:dyDescent="0.5">
      <c r="A17" s="42" t="s">
        <v>111</v>
      </c>
      <c r="B17" s="42"/>
      <c r="C17" s="90"/>
      <c r="D17" s="9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90"/>
      <c r="D18" s="9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90"/>
      <c r="D19" s="9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90"/>
      <c r="D20" s="9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90"/>
      <c r="D21" s="9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90"/>
      <c r="D22" s="9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90"/>
      <c r="D23" s="9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42"/>
      <c r="C24" s="90"/>
      <c r="D24" s="9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งปม.'!D39</f>
        <v>0</v>
      </c>
      <c r="F5" s="10">
        <f>'จัดสรร งปม.'!E39</f>
        <v>0</v>
      </c>
      <c r="G5" s="10">
        <f>'จัดสรร งปม.'!F39</f>
        <v>0</v>
      </c>
      <c r="H5" s="10">
        <f>'จัดสรร งปม.'!G39</f>
        <v>0</v>
      </c>
      <c r="I5" s="10">
        <f>'จัดสรร งปม.'!H39</f>
        <v>0</v>
      </c>
      <c r="J5" s="10">
        <f>'จัดสรร งปม.'!I39</f>
        <v>0</v>
      </c>
      <c r="K5" s="10">
        <f>'จัดสรร งปม.'!J39</f>
        <v>0</v>
      </c>
      <c r="L5" s="10">
        <f>'จัดสรร งปม.'!K39</f>
        <v>0</v>
      </c>
      <c r="M5" s="10"/>
      <c r="N5" s="10">
        <f>'จัดสรร งปม.'!L39</f>
        <v>0</v>
      </c>
      <c r="O5" s="10"/>
      <c r="P5" s="10">
        <f>'จัดสรร งปม.'!N39</f>
        <v>0</v>
      </c>
      <c r="Q5" s="10">
        <f>'จัดสรร งปม.'!P39</f>
        <v>0</v>
      </c>
      <c r="R5" s="10">
        <f>'จัดสรร งปม.'!Q39</f>
        <v>0</v>
      </c>
      <c r="S5" s="10">
        <f>'จัดสรร งปม.'!R39</f>
        <v>0</v>
      </c>
    </row>
    <row r="6" spans="1:19" x14ac:dyDescent="0.3">
      <c r="D6" s="49" t="s">
        <v>94</v>
      </c>
      <c r="E6" s="10">
        <f>SUM(E11:E45)</f>
        <v>90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90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-90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-90</v>
      </c>
    </row>
    <row r="8" spans="1:19" x14ac:dyDescent="0.3">
      <c r="B8" s="49" t="s">
        <v>99</v>
      </c>
      <c r="C8" s="79">
        <f>'จัดสรร งปม.'!$B$39</f>
        <v>309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งปม.'!$C$39</f>
        <v>ค่าใช้สอยอื่นๆ(ไม่เกิน50,000/ครั้ง/รายการ)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90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90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งปม.'!D40</f>
        <v>0</v>
      </c>
      <c r="F5" s="10">
        <f>'จัดสรร งปม.'!E40</f>
        <v>0</v>
      </c>
      <c r="G5" s="10">
        <f>'จัดสรร งปม.'!F40</f>
        <v>21445.599999999999</v>
      </c>
      <c r="H5" s="10">
        <f>'จัดสรร งปม.'!G40</f>
        <v>0</v>
      </c>
      <c r="I5" s="10">
        <f>'จัดสรร งปม.'!H40</f>
        <v>0</v>
      </c>
      <c r="J5" s="10">
        <f>'จัดสรร งปม.'!I40</f>
        <v>0</v>
      </c>
      <c r="K5" s="10">
        <f>'จัดสรร งปม.'!J40</f>
        <v>0</v>
      </c>
      <c r="L5" s="10">
        <f>'จัดสรร งปม.'!K40</f>
        <v>0</v>
      </c>
      <c r="M5" s="10">
        <f>'จัดสรร งปม.'!L40</f>
        <v>0</v>
      </c>
      <c r="N5" s="10">
        <f>'จัดสรร งปม.'!M40</f>
        <v>0</v>
      </c>
      <c r="O5" s="9">
        <f>'จัดสรร งปม.'!N40</f>
        <v>6605.5</v>
      </c>
      <c r="P5" s="10">
        <f>'จัดสรร งปม.'!O40</f>
        <v>0</v>
      </c>
      <c r="Q5" s="10">
        <f>'จัดสรร งปม.'!P40</f>
        <v>0</v>
      </c>
      <c r="R5" s="10">
        <f>'จัดสรร งปม.'!Q40</f>
        <v>0</v>
      </c>
      <c r="S5" s="10">
        <f>'จัดสรร งปม.'!R40</f>
        <v>28051.1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21445.599999999999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>
        <f t="shared" si="0"/>
        <v>0</v>
      </c>
      <c r="N6" s="10">
        <f t="shared" si="0"/>
        <v>0</v>
      </c>
      <c r="O6" s="9">
        <f t="shared" si="0"/>
        <v>6605.5</v>
      </c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28051.1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>
        <f t="shared" si="1"/>
        <v>0</v>
      </c>
      <c r="N7" s="10">
        <f t="shared" si="1"/>
        <v>0</v>
      </c>
      <c r="O7" s="10">
        <f t="shared" si="1"/>
        <v>0</v>
      </c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งปม.'!$B$40</f>
        <v>310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งปม.'!$C$40</f>
        <v>ค่าน้ำมัน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4" t="s">
        <v>286</v>
      </c>
      <c r="C11" s="105" t="s">
        <v>310</v>
      </c>
      <c r="D11" s="99" t="s">
        <v>260</v>
      </c>
      <c r="E11" s="100"/>
      <c r="F11" s="100"/>
      <c r="G11" s="101">
        <v>1825.4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1825.4</v>
      </c>
    </row>
    <row r="12" spans="1:19" ht="21" x14ac:dyDescent="0.35">
      <c r="A12" s="88" t="s">
        <v>106</v>
      </c>
      <c r="B12" s="104" t="s">
        <v>286</v>
      </c>
      <c r="C12" s="105" t="s">
        <v>305</v>
      </c>
      <c r="D12" s="99" t="s">
        <v>260</v>
      </c>
      <c r="E12" s="100"/>
      <c r="F12" s="100"/>
      <c r="G12" s="101">
        <v>3060.8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3060.8</v>
      </c>
    </row>
    <row r="13" spans="1:19" ht="21" x14ac:dyDescent="0.35">
      <c r="A13" s="88" t="s">
        <v>107</v>
      </c>
      <c r="B13" s="104" t="s">
        <v>262</v>
      </c>
      <c r="C13" s="105" t="s">
        <v>310</v>
      </c>
      <c r="D13" s="99" t="s">
        <v>260</v>
      </c>
      <c r="E13" s="100"/>
      <c r="F13" s="100"/>
      <c r="G13" s="101">
        <v>6669.4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6669.4</v>
      </c>
    </row>
    <row r="14" spans="1:19" ht="21" x14ac:dyDescent="0.35">
      <c r="A14" s="88" t="s">
        <v>108</v>
      </c>
      <c r="B14" s="104" t="s">
        <v>306</v>
      </c>
      <c r="C14" s="105" t="s">
        <v>311</v>
      </c>
      <c r="D14" s="99" t="s">
        <v>260</v>
      </c>
      <c r="E14" s="100"/>
      <c r="F14" s="100"/>
      <c r="G14" s="101">
        <v>4000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4000</v>
      </c>
    </row>
    <row r="15" spans="1:19" ht="21" x14ac:dyDescent="0.35">
      <c r="A15" s="88" t="s">
        <v>109</v>
      </c>
      <c r="B15" s="104" t="s">
        <v>312</v>
      </c>
      <c r="C15" s="105" t="s">
        <v>305</v>
      </c>
      <c r="D15" s="99" t="s">
        <v>260</v>
      </c>
      <c r="E15" s="100"/>
      <c r="F15" s="100"/>
      <c r="G15" s="102">
        <v>5890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5890</v>
      </c>
    </row>
    <row r="16" spans="1:19" x14ac:dyDescent="0.3">
      <c r="A16" s="88" t="s">
        <v>110</v>
      </c>
      <c r="B16" s="85" t="s">
        <v>393</v>
      </c>
      <c r="C16" s="86" t="s">
        <v>311</v>
      </c>
      <c r="D16" s="86" t="s">
        <v>260</v>
      </c>
      <c r="E16" s="10"/>
      <c r="F16" s="10"/>
      <c r="G16" s="31"/>
      <c r="H16" s="10"/>
      <c r="I16" s="10"/>
      <c r="J16" s="10"/>
      <c r="K16" s="10"/>
      <c r="L16" s="10"/>
      <c r="M16" s="10"/>
      <c r="N16" s="10"/>
      <c r="O16" s="31">
        <v>2464.5</v>
      </c>
      <c r="P16" s="10"/>
      <c r="Q16" s="10"/>
      <c r="R16" s="10"/>
      <c r="S16" s="10">
        <f t="shared" si="2"/>
        <v>2464.5</v>
      </c>
    </row>
    <row r="17" spans="1:19" x14ac:dyDescent="0.3">
      <c r="A17" s="88" t="s">
        <v>111</v>
      </c>
      <c r="B17" s="85" t="s">
        <v>393</v>
      </c>
      <c r="C17" s="86" t="s">
        <v>305</v>
      </c>
      <c r="D17" s="86" t="s">
        <v>260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>
        <v>4141</v>
      </c>
      <c r="P17" s="10"/>
      <c r="Q17" s="10"/>
      <c r="R17" s="10"/>
      <c r="S17" s="10">
        <f t="shared" si="2"/>
        <v>4141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8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งปม.'!D41</f>
        <v>0</v>
      </c>
      <c r="F5" s="10">
        <f>'จัดสรร งปม.'!E41</f>
        <v>0</v>
      </c>
      <c r="G5" s="10">
        <f>'จัดสรร งปม.'!F41</f>
        <v>0</v>
      </c>
      <c r="H5" s="10">
        <f>'จัดสรร งปม.'!G41</f>
        <v>0</v>
      </c>
      <c r="I5" s="10">
        <f>'จัดสรร งปม.'!H41</f>
        <v>0</v>
      </c>
      <c r="J5" s="10">
        <f>'จัดสรร งปม.'!I41</f>
        <v>0</v>
      </c>
      <c r="K5" s="10">
        <f>'จัดสรร งปม.'!J41</f>
        <v>0</v>
      </c>
      <c r="L5" s="10">
        <f>'จัดสรร งปม.'!K41</f>
        <v>0</v>
      </c>
      <c r="M5" s="10"/>
      <c r="N5" s="10">
        <f>'จัดสรร งปม.'!L41</f>
        <v>0</v>
      </c>
      <c r="O5" s="10"/>
      <c r="P5" s="10">
        <f>'จัดสรร งปม.'!N41</f>
        <v>0</v>
      </c>
      <c r="Q5" s="10">
        <f>'จัดสรร งปม.'!P41</f>
        <v>6000</v>
      </c>
      <c r="R5" s="10">
        <f>'จัดสรร งปม.'!Q41</f>
        <v>0</v>
      </c>
      <c r="S5" s="10">
        <f>'จัดสรร งปม.'!R41</f>
        <v>6000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6000</v>
      </c>
      <c r="R6" s="10">
        <f t="shared" si="0"/>
        <v>0</v>
      </c>
      <c r="S6" s="10">
        <f t="shared" si="0"/>
        <v>6000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งปม.'!$B$41</f>
        <v>311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งปม.'!$C$41</f>
        <v>ค่าขยะมูลฝอย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279</v>
      </c>
      <c r="C11" s="98" t="s">
        <v>310</v>
      </c>
      <c r="D11" s="99" t="s">
        <v>260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0">
        <v>2000</v>
      </c>
      <c r="R11" s="10"/>
      <c r="S11" s="10">
        <f>SUM(E11:R11)</f>
        <v>2000</v>
      </c>
    </row>
    <row r="12" spans="1:19" ht="21" x14ac:dyDescent="0.35">
      <c r="A12" s="88" t="s">
        <v>106</v>
      </c>
      <c r="B12" s="103" t="s">
        <v>293</v>
      </c>
      <c r="C12" s="98" t="s">
        <v>313</v>
      </c>
      <c r="D12" s="99" t="s">
        <v>260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0">
        <v>1000</v>
      </c>
      <c r="R12" s="10"/>
      <c r="S12" s="10">
        <f t="shared" ref="S12:S45" si="2">SUM(E12:R12)</f>
        <v>1000</v>
      </c>
    </row>
    <row r="13" spans="1:19" ht="21" x14ac:dyDescent="0.35">
      <c r="A13" s="88" t="s">
        <v>107</v>
      </c>
      <c r="B13" s="103" t="s">
        <v>312</v>
      </c>
      <c r="C13" s="98" t="s">
        <v>310</v>
      </c>
      <c r="D13" s="99" t="s">
        <v>260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0">
        <v>1000</v>
      </c>
      <c r="R13" s="10"/>
      <c r="S13" s="10">
        <f t="shared" si="2"/>
        <v>1000</v>
      </c>
    </row>
    <row r="14" spans="1:19" x14ac:dyDescent="0.3">
      <c r="A14" s="88" t="s">
        <v>108</v>
      </c>
      <c r="B14" s="85" t="s">
        <v>361</v>
      </c>
      <c r="C14" s="86" t="s">
        <v>313</v>
      </c>
      <c r="D14" s="86" t="s">
        <v>260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1000</v>
      </c>
      <c r="R14" s="10"/>
      <c r="S14" s="10">
        <f t="shared" si="2"/>
        <v>1000</v>
      </c>
    </row>
    <row r="15" spans="1:19" x14ac:dyDescent="0.3">
      <c r="A15" s="88" t="s">
        <v>109</v>
      </c>
      <c r="B15" s="85" t="s">
        <v>394</v>
      </c>
      <c r="C15" s="86" t="s">
        <v>313</v>
      </c>
      <c r="D15" s="86" t="s">
        <v>260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1000</v>
      </c>
      <c r="R15" s="10"/>
      <c r="S15" s="10">
        <f t="shared" si="2"/>
        <v>1000</v>
      </c>
    </row>
    <row r="16" spans="1:19" ht="21.75" x14ac:dyDescent="0.5">
      <c r="A16" s="42" t="s">
        <v>110</v>
      </c>
      <c r="B16" s="85"/>
      <c r="C16" s="86"/>
      <c r="D16" s="8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1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11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1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งปม.'!D42</f>
        <v>0</v>
      </c>
      <c r="F5" s="10">
        <f>'จัดสรร งปม.'!E42</f>
        <v>0</v>
      </c>
      <c r="G5" s="10">
        <f>'จัดสรร งปม.'!F42</f>
        <v>0</v>
      </c>
      <c r="H5" s="10">
        <f>'จัดสรร งปม.'!G42</f>
        <v>0</v>
      </c>
      <c r="I5" s="10">
        <f>'จัดสรร งปม.'!H42</f>
        <v>0</v>
      </c>
      <c r="J5" s="10">
        <f>'จัดสรร งปม.'!I42</f>
        <v>0</v>
      </c>
      <c r="K5" s="10">
        <f>'จัดสรร งปม.'!J42</f>
        <v>0</v>
      </c>
      <c r="L5" s="10">
        <f>'จัดสรร งปม.'!K42</f>
        <v>0</v>
      </c>
      <c r="M5" s="10"/>
      <c r="N5" s="10">
        <f>'จัดสรร งปม.'!L42</f>
        <v>0</v>
      </c>
      <c r="O5" s="10"/>
      <c r="P5" s="10">
        <f>'จัดสรร งปม.'!N42</f>
        <v>0</v>
      </c>
      <c r="Q5" s="10">
        <f>'จัดสรร งปม.'!P42</f>
        <v>4013</v>
      </c>
      <c r="R5" s="10">
        <f>'จัดสรร งปม.'!Q42</f>
        <v>0</v>
      </c>
      <c r="S5" s="10">
        <f>'จัดสรร งปม.'!R42</f>
        <v>4013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4013</v>
      </c>
      <c r="R6" s="10">
        <f t="shared" si="0"/>
        <v>0</v>
      </c>
      <c r="S6" s="10">
        <f t="shared" si="0"/>
        <v>4013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งปม.'!$B$42</f>
        <v>312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งปม.'!$C$42</f>
        <v>ค่าโดเมนเนม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97" t="s">
        <v>314</v>
      </c>
      <c r="C11" s="98" t="s">
        <v>270</v>
      </c>
      <c r="D11" s="98" t="s">
        <v>315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4013</v>
      </c>
      <c r="R11" s="10"/>
      <c r="S11" s="10">
        <f>SUM(E11:R11)</f>
        <v>4013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8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งปม.'!D43</f>
        <v>0</v>
      </c>
      <c r="F5" s="10">
        <f>'จัดสรร งปม.'!E43</f>
        <v>0</v>
      </c>
      <c r="G5" s="10">
        <f>'จัดสรร งปม.'!F43</f>
        <v>0</v>
      </c>
      <c r="H5" s="10">
        <f>'จัดสรร งปม.'!G43</f>
        <v>0</v>
      </c>
      <c r="I5" s="10">
        <f>'จัดสรร งปม.'!H43</f>
        <v>0</v>
      </c>
      <c r="J5" s="10">
        <f>'จัดสรร งปม.'!I43</f>
        <v>0</v>
      </c>
      <c r="K5" s="10">
        <f>'จัดสรร งปม.'!J43</f>
        <v>0</v>
      </c>
      <c r="L5" s="10">
        <f>'จัดสรร งปม.'!K43</f>
        <v>0</v>
      </c>
      <c r="M5" s="10"/>
      <c r="N5" s="10">
        <f>'จัดสรร งปม.'!L43</f>
        <v>0</v>
      </c>
      <c r="O5" s="10"/>
      <c r="P5" s="10">
        <f>'จัดสรร งปม.'!N43</f>
        <v>0</v>
      </c>
      <c r="Q5" s="10">
        <f>'จัดสรร งปม.'!P43</f>
        <v>2352</v>
      </c>
      <c r="R5" s="10">
        <f>'จัดสรร งปม.'!Q43</f>
        <v>0</v>
      </c>
      <c r="S5" s="10">
        <f>'จัดสรร งปม.'!R43</f>
        <v>2352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2352</v>
      </c>
      <c r="R6" s="10">
        <f t="shared" si="0"/>
        <v>0</v>
      </c>
      <c r="S6" s="10">
        <f t="shared" si="0"/>
        <v>2352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งปม.'!$B$43</f>
        <v>313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งปม.'!$C$43</f>
        <v>เงินสมทบกองทุนเงินทดแทน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372</v>
      </c>
      <c r="C11" s="44" t="s">
        <v>239</v>
      </c>
      <c r="D11" s="123" t="s">
        <v>240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2352</v>
      </c>
      <c r="R11" s="10"/>
      <c r="S11" s="10">
        <f>SUM(E11:R11)</f>
        <v>2352</v>
      </c>
    </row>
    <row r="12" spans="1:19" ht="21.75" x14ac:dyDescent="0.5">
      <c r="A12" s="42" t="s">
        <v>106</v>
      </c>
      <c r="B12" s="42"/>
      <c r="C12" s="44"/>
      <c r="D12" s="12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42"/>
      <c r="C13" s="44"/>
      <c r="D13" s="123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42"/>
      <c r="C14" s="44"/>
      <c r="D14" s="12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42"/>
      <c r="C15" s="44"/>
      <c r="D15" s="12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42"/>
      <c r="C16" s="44"/>
      <c r="D16" s="12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44"/>
      <c r="D17" s="12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44"/>
      <c r="D18" s="12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44"/>
      <c r="D19" s="123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44"/>
      <c r="D20" s="12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44"/>
      <c r="D21" s="123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44"/>
      <c r="D22" s="12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งปม.'!D44</f>
        <v>0</v>
      </c>
      <c r="F5" s="10">
        <f>'จัดสรร งปม.'!E44</f>
        <v>0</v>
      </c>
      <c r="G5" s="10">
        <f>'จัดสรร งปม.'!F44</f>
        <v>0</v>
      </c>
      <c r="H5" s="10">
        <f>'จัดสรร งปม.'!G44</f>
        <v>0</v>
      </c>
      <c r="I5" s="10">
        <f>'จัดสรร งปม.'!H44</f>
        <v>0</v>
      </c>
      <c r="J5" s="10">
        <f>'จัดสรร งปม.'!I44</f>
        <v>0</v>
      </c>
      <c r="K5" s="10">
        <f>'จัดสรร งปม.'!J44</f>
        <v>0</v>
      </c>
      <c r="L5" s="10">
        <f>'จัดสรร งปม.'!K44</f>
        <v>0</v>
      </c>
      <c r="M5" s="10"/>
      <c r="N5" s="10">
        <f>'จัดสรร งปม.'!L44</f>
        <v>0</v>
      </c>
      <c r="O5" s="10"/>
      <c r="P5" s="10">
        <f>'จัดสรร งปม.'!N44</f>
        <v>0</v>
      </c>
      <c r="Q5" s="10">
        <f>'จัดสรร งปม.'!P44</f>
        <v>0</v>
      </c>
      <c r="R5" s="10">
        <f>'จัดสรร งปม.'!Q44</f>
        <v>0</v>
      </c>
      <c r="S5" s="10">
        <f>'จัดสรร งปม.'!R44</f>
        <v>0</v>
      </c>
    </row>
    <row r="6" spans="1:19" x14ac:dyDescent="0.3">
      <c r="D6" s="49" t="s">
        <v>94</v>
      </c>
      <c r="E6" s="10">
        <f>SUM(E11:E45)</f>
        <v>40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40</v>
      </c>
    </row>
    <row r="7" spans="1:19" x14ac:dyDescent="0.3">
      <c r="B7" s="169" t="s">
        <v>154</v>
      </c>
      <c r="C7" s="169"/>
      <c r="D7" s="49" t="s">
        <v>96</v>
      </c>
      <c r="E7" s="10">
        <f>E5-E6</f>
        <v>-40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-40</v>
      </c>
    </row>
    <row r="8" spans="1:19" x14ac:dyDescent="0.3">
      <c r="B8" s="49" t="s">
        <v>99</v>
      </c>
      <c r="C8" s="79">
        <f>'จัดสรร งปม.'!$B$44</f>
        <v>314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งปม.'!$C$44</f>
        <v>สำรอง 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40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งปม.'!D46</f>
        <v>35500</v>
      </c>
      <c r="F5" s="10">
        <f>'จัดสรร งปม.'!E46</f>
        <v>62000</v>
      </c>
      <c r="G5" s="10">
        <f>'จัดสรร งปม.'!F46</f>
        <v>15188</v>
      </c>
      <c r="H5" s="10">
        <f>'จัดสรร งปม.'!G46</f>
        <v>0</v>
      </c>
      <c r="I5" s="10">
        <f>'จัดสรร งปม.'!H46</f>
        <v>0</v>
      </c>
      <c r="J5" s="10">
        <f>'จัดสรร งปม.'!I46</f>
        <v>0</v>
      </c>
      <c r="K5" s="10">
        <f>'จัดสรร งปม.'!J46</f>
        <v>0</v>
      </c>
      <c r="L5" s="10">
        <f>'จัดสรร งปม.'!K46</f>
        <v>0</v>
      </c>
      <c r="M5" s="10"/>
      <c r="N5" s="10">
        <f>'จัดสรร งปม.'!L46</f>
        <v>0</v>
      </c>
      <c r="O5" s="10"/>
      <c r="P5" s="10">
        <f>'จัดสรร งปม.'!N46</f>
        <v>0</v>
      </c>
      <c r="Q5" s="10">
        <f>'จัดสรร งปม.'!P46</f>
        <v>2500</v>
      </c>
      <c r="R5" s="10">
        <f>'จัดสรร งปม.'!Q46</f>
        <v>0</v>
      </c>
      <c r="S5" s="10">
        <f>'จัดสรร งปม.'!R46</f>
        <v>115188</v>
      </c>
    </row>
    <row r="6" spans="1:19" x14ac:dyDescent="0.3">
      <c r="D6" s="49" t="s">
        <v>94</v>
      </c>
      <c r="E6" s="10">
        <f>SUM(E11:E45)</f>
        <v>35500</v>
      </c>
      <c r="F6" s="10">
        <f t="shared" ref="F6:S6" si="0">SUM(F11:F45)</f>
        <v>62000</v>
      </c>
      <c r="G6" s="10">
        <f t="shared" si="0"/>
        <v>15188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2500</v>
      </c>
      <c r="R6" s="10">
        <f t="shared" si="0"/>
        <v>0</v>
      </c>
      <c r="S6" s="10">
        <f t="shared" si="0"/>
        <v>115188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งปม.'!$B$46</f>
        <v>401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งปม.'!$C$46</f>
        <v>แผนกวิชาช่างก่อสร้าง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4" t="s">
        <v>316</v>
      </c>
      <c r="C11" s="105" t="s">
        <v>298</v>
      </c>
      <c r="D11" s="105" t="s">
        <v>317</v>
      </c>
      <c r="E11" s="100">
        <v>13000</v>
      </c>
      <c r="F11" s="100"/>
      <c r="G11" s="10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13000</v>
      </c>
    </row>
    <row r="12" spans="1:19" ht="21" x14ac:dyDescent="0.35">
      <c r="A12" s="88" t="s">
        <v>106</v>
      </c>
      <c r="B12" s="104" t="s">
        <v>316</v>
      </c>
      <c r="C12" s="105" t="s">
        <v>298</v>
      </c>
      <c r="D12" s="105" t="s">
        <v>317</v>
      </c>
      <c r="E12" s="100">
        <v>10000</v>
      </c>
      <c r="F12" s="100"/>
      <c r="G12" s="10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10000</v>
      </c>
    </row>
    <row r="13" spans="1:19" ht="21" x14ac:dyDescent="0.35">
      <c r="A13" s="88" t="s">
        <v>107</v>
      </c>
      <c r="B13" s="104" t="s">
        <v>316</v>
      </c>
      <c r="C13" s="105" t="s">
        <v>298</v>
      </c>
      <c r="D13" s="105" t="s">
        <v>317</v>
      </c>
      <c r="E13" s="100">
        <v>10000</v>
      </c>
      <c r="F13" s="100"/>
      <c r="G13" s="10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10000</v>
      </c>
    </row>
    <row r="14" spans="1:19" ht="21" x14ac:dyDescent="0.35">
      <c r="A14" s="88" t="s">
        <v>108</v>
      </c>
      <c r="B14" s="104" t="s">
        <v>316</v>
      </c>
      <c r="C14" s="105" t="s">
        <v>281</v>
      </c>
      <c r="D14" s="105" t="s">
        <v>317</v>
      </c>
      <c r="E14" s="100">
        <v>2500</v>
      </c>
      <c r="F14" s="100"/>
      <c r="G14" s="10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2500</v>
      </c>
    </row>
    <row r="15" spans="1:19" ht="21" x14ac:dyDescent="0.35">
      <c r="A15" s="88" t="s">
        <v>109</v>
      </c>
      <c r="B15" s="104" t="s">
        <v>316</v>
      </c>
      <c r="C15" s="105" t="s">
        <v>281</v>
      </c>
      <c r="D15" s="105" t="s">
        <v>317</v>
      </c>
      <c r="E15" s="100"/>
      <c r="F15" s="100">
        <v>7500</v>
      </c>
      <c r="G15" s="10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7500</v>
      </c>
    </row>
    <row r="16" spans="1:19" ht="21" x14ac:dyDescent="0.35">
      <c r="A16" s="88" t="s">
        <v>110</v>
      </c>
      <c r="B16" s="104" t="s">
        <v>316</v>
      </c>
      <c r="C16" s="105" t="s">
        <v>281</v>
      </c>
      <c r="D16" s="105" t="s">
        <v>317</v>
      </c>
      <c r="E16" s="100"/>
      <c r="F16" s="100">
        <v>7500</v>
      </c>
      <c r="G16" s="10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7500</v>
      </c>
    </row>
    <row r="17" spans="1:19" ht="21" x14ac:dyDescent="0.35">
      <c r="A17" s="88" t="s">
        <v>111</v>
      </c>
      <c r="B17" s="104" t="s">
        <v>316</v>
      </c>
      <c r="C17" s="105" t="s">
        <v>281</v>
      </c>
      <c r="D17" s="105" t="s">
        <v>317</v>
      </c>
      <c r="E17" s="100"/>
      <c r="F17" s="100"/>
      <c r="G17" s="100"/>
      <c r="H17" s="10"/>
      <c r="I17" s="10"/>
      <c r="J17" s="10"/>
      <c r="K17" s="10"/>
      <c r="L17" s="10"/>
      <c r="M17" s="10"/>
      <c r="N17" s="10"/>
      <c r="O17" s="10"/>
      <c r="P17" s="10"/>
      <c r="Q17" s="10">
        <v>2500</v>
      </c>
      <c r="R17" s="10"/>
      <c r="S17" s="10">
        <f t="shared" si="2"/>
        <v>2500</v>
      </c>
    </row>
    <row r="18" spans="1:19" ht="21" x14ac:dyDescent="0.35">
      <c r="A18" s="88" t="s">
        <v>112</v>
      </c>
      <c r="B18" s="104" t="s">
        <v>316</v>
      </c>
      <c r="C18" s="105" t="s">
        <v>318</v>
      </c>
      <c r="D18" s="105" t="s">
        <v>317</v>
      </c>
      <c r="E18" s="100"/>
      <c r="F18" s="100">
        <v>7000</v>
      </c>
      <c r="G18" s="10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7000</v>
      </c>
    </row>
    <row r="19" spans="1:19" ht="21" x14ac:dyDescent="0.35">
      <c r="A19" s="88" t="s">
        <v>113</v>
      </c>
      <c r="B19" s="104" t="s">
        <v>316</v>
      </c>
      <c r="C19" s="105" t="s">
        <v>318</v>
      </c>
      <c r="D19" s="105" t="s">
        <v>317</v>
      </c>
      <c r="E19" s="100"/>
      <c r="F19" s="100">
        <v>6000</v>
      </c>
      <c r="G19" s="10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6000</v>
      </c>
    </row>
    <row r="20" spans="1:19" ht="21" x14ac:dyDescent="0.35">
      <c r="A20" s="88" t="s">
        <v>114</v>
      </c>
      <c r="B20" s="104" t="s">
        <v>316</v>
      </c>
      <c r="C20" s="105" t="s">
        <v>318</v>
      </c>
      <c r="D20" s="105" t="s">
        <v>317</v>
      </c>
      <c r="E20" s="100"/>
      <c r="F20" s="100">
        <v>6000</v>
      </c>
      <c r="G20" s="10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6000</v>
      </c>
    </row>
    <row r="21" spans="1:19" ht="21" x14ac:dyDescent="0.35">
      <c r="A21" s="88" t="s">
        <v>115</v>
      </c>
      <c r="B21" s="104" t="s">
        <v>316</v>
      </c>
      <c r="C21" s="105" t="s">
        <v>318</v>
      </c>
      <c r="D21" s="105" t="s">
        <v>317</v>
      </c>
      <c r="E21" s="100"/>
      <c r="F21" s="100">
        <v>10000</v>
      </c>
      <c r="G21" s="10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10000</v>
      </c>
    </row>
    <row r="22" spans="1:19" ht="21" x14ac:dyDescent="0.35">
      <c r="A22" s="88" t="s">
        <v>116</v>
      </c>
      <c r="B22" s="104" t="s">
        <v>319</v>
      </c>
      <c r="C22" s="105" t="s">
        <v>318</v>
      </c>
      <c r="D22" s="105" t="s">
        <v>317</v>
      </c>
      <c r="E22" s="100"/>
      <c r="F22" s="100">
        <v>10000</v>
      </c>
      <c r="G22" s="10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10000</v>
      </c>
    </row>
    <row r="23" spans="1:19" ht="21" x14ac:dyDescent="0.35">
      <c r="A23" s="88" t="s">
        <v>117</v>
      </c>
      <c r="B23" s="104" t="s">
        <v>320</v>
      </c>
      <c r="C23" s="105" t="s">
        <v>318</v>
      </c>
      <c r="D23" s="105" t="s">
        <v>317</v>
      </c>
      <c r="E23" s="100"/>
      <c r="F23" s="100">
        <v>8000</v>
      </c>
      <c r="G23" s="10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8000</v>
      </c>
    </row>
    <row r="24" spans="1:19" ht="21" x14ac:dyDescent="0.35">
      <c r="A24" s="88" t="s">
        <v>118</v>
      </c>
      <c r="B24" s="104" t="s">
        <v>245</v>
      </c>
      <c r="C24" s="105" t="s">
        <v>318</v>
      </c>
      <c r="D24" s="105" t="s">
        <v>317</v>
      </c>
      <c r="E24" s="100"/>
      <c r="F24" s="100"/>
      <c r="G24" s="100">
        <v>15188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15188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x14ac:dyDescent="0.3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  <hyperlink ref="A19" r:id="rId9"/>
    <hyperlink ref="A20" r:id="rId10"/>
    <hyperlink ref="A21" r:id="rId11"/>
    <hyperlink ref="A22" r:id="rId12"/>
    <hyperlink ref="A23" r:id="rId13"/>
    <hyperlink ref="A24" r:id="rId14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งปม.'!D47</f>
        <v>13000</v>
      </c>
      <c r="F5" s="10">
        <f>'จัดสรร งปม.'!E47</f>
        <v>74000</v>
      </c>
      <c r="G5" s="10">
        <f>'จัดสรร งปม.'!F47</f>
        <v>2600</v>
      </c>
      <c r="H5" s="10">
        <f>'จัดสรร งปม.'!G47</f>
        <v>0</v>
      </c>
      <c r="I5" s="10">
        <f>'จัดสรร งปม.'!H47</f>
        <v>0</v>
      </c>
      <c r="J5" s="10">
        <f>'จัดสรร งปม.'!I47</f>
        <v>0</v>
      </c>
      <c r="K5" s="10">
        <f>'จัดสรร งปม.'!J47</f>
        <v>0</v>
      </c>
      <c r="L5" s="10">
        <f>'จัดสรร งปม.'!K47</f>
        <v>0</v>
      </c>
      <c r="M5" s="10"/>
      <c r="N5" s="10">
        <f>'จัดสรร งปม.'!L47</f>
        <v>0</v>
      </c>
      <c r="O5" s="10"/>
      <c r="P5" s="10">
        <f>'จัดสรร งปม.'!N47</f>
        <v>0</v>
      </c>
      <c r="Q5" s="10">
        <f>'จัดสรร งปม.'!P47</f>
        <v>13000</v>
      </c>
      <c r="R5" s="10">
        <f>'จัดสรร งปม.'!Q47</f>
        <v>0</v>
      </c>
      <c r="S5" s="10">
        <f>'จัดสรร งปม.'!R47</f>
        <v>102600</v>
      </c>
    </row>
    <row r="6" spans="1:19" x14ac:dyDescent="0.3">
      <c r="D6" s="49" t="s">
        <v>94</v>
      </c>
      <c r="E6" s="10">
        <f>SUM(E11:E45)</f>
        <v>13000</v>
      </c>
      <c r="F6" s="10">
        <f t="shared" ref="F6:S6" si="0">SUM(F11:F45)</f>
        <v>74000</v>
      </c>
      <c r="G6" s="10">
        <f t="shared" si="0"/>
        <v>2600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13000</v>
      </c>
      <c r="R6" s="10">
        <f t="shared" si="0"/>
        <v>0</v>
      </c>
      <c r="S6" s="10">
        <f t="shared" si="0"/>
        <v>102600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งปม.'!$B$47</f>
        <v>402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งปม.'!$C$47</f>
        <v>แผนกวิชาช่างยนต์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321</v>
      </c>
      <c r="C11" s="99" t="s">
        <v>267</v>
      </c>
      <c r="D11" s="99" t="s">
        <v>275</v>
      </c>
      <c r="E11" s="100"/>
      <c r="F11" s="100">
        <v>10000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10000</v>
      </c>
    </row>
    <row r="12" spans="1:19" ht="21" x14ac:dyDescent="0.35">
      <c r="A12" s="88" t="s">
        <v>106</v>
      </c>
      <c r="B12" s="103" t="s">
        <v>321</v>
      </c>
      <c r="C12" s="99" t="s">
        <v>267</v>
      </c>
      <c r="D12" s="99" t="s">
        <v>275</v>
      </c>
      <c r="E12" s="100">
        <v>13000</v>
      </c>
      <c r="F12" s="10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13000</v>
      </c>
    </row>
    <row r="13" spans="1:19" ht="21" x14ac:dyDescent="0.35">
      <c r="A13" s="88" t="s">
        <v>107</v>
      </c>
      <c r="B13" s="103" t="s">
        <v>321</v>
      </c>
      <c r="C13" s="99" t="s">
        <v>322</v>
      </c>
      <c r="D13" s="99" t="s">
        <v>275</v>
      </c>
      <c r="E13" s="100"/>
      <c r="F13" s="100">
        <v>12000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12000</v>
      </c>
    </row>
    <row r="14" spans="1:19" ht="21" x14ac:dyDescent="0.35">
      <c r="A14" s="88" t="s">
        <v>108</v>
      </c>
      <c r="B14" s="103" t="s">
        <v>321</v>
      </c>
      <c r="C14" s="99" t="s">
        <v>322</v>
      </c>
      <c r="D14" s="99" t="s">
        <v>275</v>
      </c>
      <c r="E14" s="100"/>
      <c r="F14" s="10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13000</v>
      </c>
      <c r="R14" s="10"/>
      <c r="S14" s="10">
        <f t="shared" si="2"/>
        <v>13000</v>
      </c>
    </row>
    <row r="15" spans="1:19" ht="21" x14ac:dyDescent="0.35">
      <c r="A15" s="88" t="s">
        <v>109</v>
      </c>
      <c r="B15" s="103" t="s">
        <v>321</v>
      </c>
      <c r="C15" s="99" t="s">
        <v>323</v>
      </c>
      <c r="D15" s="99" t="s">
        <v>275</v>
      </c>
      <c r="E15" s="100"/>
      <c r="F15" s="100">
        <v>13000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13000</v>
      </c>
    </row>
    <row r="16" spans="1:19" ht="21" x14ac:dyDescent="0.35">
      <c r="A16" s="88" t="s">
        <v>110</v>
      </c>
      <c r="B16" s="103" t="s">
        <v>321</v>
      </c>
      <c r="C16" s="99" t="s">
        <v>259</v>
      </c>
      <c r="D16" s="99" t="s">
        <v>275</v>
      </c>
      <c r="E16" s="100"/>
      <c r="F16" s="100">
        <v>13000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13000</v>
      </c>
    </row>
    <row r="17" spans="1:19" ht="21" x14ac:dyDescent="0.35">
      <c r="A17" s="88" t="s">
        <v>111</v>
      </c>
      <c r="B17" s="103" t="s">
        <v>321</v>
      </c>
      <c r="C17" s="99" t="s">
        <v>266</v>
      </c>
      <c r="D17" s="99" t="s">
        <v>275</v>
      </c>
      <c r="E17" s="100"/>
      <c r="F17" s="100">
        <v>13000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13000</v>
      </c>
    </row>
    <row r="18" spans="1:19" ht="21" x14ac:dyDescent="0.35">
      <c r="A18" s="88" t="s">
        <v>112</v>
      </c>
      <c r="B18" s="103" t="s">
        <v>321</v>
      </c>
      <c r="C18" s="99" t="s">
        <v>324</v>
      </c>
      <c r="D18" s="99" t="s">
        <v>275</v>
      </c>
      <c r="E18" s="100"/>
      <c r="F18" s="100">
        <v>13000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13000</v>
      </c>
    </row>
    <row r="19" spans="1:19" x14ac:dyDescent="0.3">
      <c r="A19" s="88" t="s">
        <v>113</v>
      </c>
      <c r="B19" s="85" t="s">
        <v>387</v>
      </c>
      <c r="C19" s="86" t="s">
        <v>267</v>
      </c>
      <c r="D19" s="86" t="s">
        <v>275</v>
      </c>
      <c r="E19" s="10"/>
      <c r="F19" s="10"/>
      <c r="G19" s="10">
        <v>800</v>
      </c>
      <c r="H19" s="92" t="s">
        <v>285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800</v>
      </c>
    </row>
    <row r="20" spans="1:19" x14ac:dyDescent="0.3">
      <c r="A20" s="88" t="s">
        <v>114</v>
      </c>
      <c r="B20" s="85" t="s">
        <v>387</v>
      </c>
      <c r="C20" s="86" t="s">
        <v>388</v>
      </c>
      <c r="D20" s="86" t="s">
        <v>275</v>
      </c>
      <c r="E20" s="10"/>
      <c r="F20" s="10"/>
      <c r="G20" s="10">
        <v>800</v>
      </c>
      <c r="H20" s="92" t="s">
        <v>285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800</v>
      </c>
    </row>
    <row r="21" spans="1:19" x14ac:dyDescent="0.3">
      <c r="A21" s="88" t="s">
        <v>115</v>
      </c>
      <c r="B21" s="85" t="s">
        <v>397</v>
      </c>
      <c r="C21" s="86" t="s">
        <v>322</v>
      </c>
      <c r="D21" s="86" t="s">
        <v>275</v>
      </c>
      <c r="E21" s="10"/>
      <c r="F21" s="10"/>
      <c r="G21" s="10">
        <v>1000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1000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86"/>
      <c r="D26" s="8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86"/>
      <c r="D27" s="8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  <hyperlink ref="A19" r:id="rId9"/>
    <hyperlink ref="A20" r:id="rId10"/>
    <hyperlink ref="A21" r:id="rId11"/>
  </hyperlinks>
  <pageMargins left="0.7" right="0.7" top="0.75" bottom="0.75" header="0.3" footer="0.3"/>
  <pageSetup paperSize="9" orientation="portrait" horizontalDpi="360" verticalDpi="360" r:id="rId1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2.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งปม.'!D48</f>
        <v>0</v>
      </c>
      <c r="F5" s="10">
        <f>'จัดสรร งปม.'!E48</f>
        <v>69710</v>
      </c>
      <c r="G5" s="10">
        <f>'จัดสรร งปม.'!F48</f>
        <v>500</v>
      </c>
      <c r="H5" s="10">
        <f>'จัดสรร งปม.'!G48</f>
        <v>0</v>
      </c>
      <c r="I5" s="10">
        <f>'จัดสรร งปม.'!H48</f>
        <v>0</v>
      </c>
      <c r="J5" s="10">
        <f>'จัดสรร งปม.'!I48</f>
        <v>0</v>
      </c>
      <c r="K5" s="10">
        <f>'จัดสรร งปม.'!J48</f>
        <v>0</v>
      </c>
      <c r="L5" s="10">
        <f>'จัดสรร งปม.'!K48</f>
        <v>0</v>
      </c>
      <c r="M5" s="10"/>
      <c r="N5" s="10">
        <f>'จัดสรร งปม.'!L48</f>
        <v>0</v>
      </c>
      <c r="O5" s="10"/>
      <c r="P5" s="10">
        <f>'จัดสรร งปม.'!N48</f>
        <v>0</v>
      </c>
      <c r="Q5" s="10">
        <f>'จัดสรร งปม.'!P48</f>
        <v>30290</v>
      </c>
      <c r="R5" s="10">
        <f>'จัดสรร งปม.'!Q48</f>
        <v>0</v>
      </c>
      <c r="S5" s="10">
        <f>'จัดสรร งปม.'!R48</f>
        <v>100500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69710</v>
      </c>
      <c r="G6" s="10">
        <f t="shared" si="0"/>
        <v>500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30290</v>
      </c>
      <c r="R6" s="10">
        <f t="shared" si="0"/>
        <v>0</v>
      </c>
      <c r="S6" s="10">
        <f t="shared" si="0"/>
        <v>100500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งปม.'!$B$48</f>
        <v>403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งปม.'!$C$48</f>
        <v>แผนกวิชาช่างไฟฟ้ากำลัง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325</v>
      </c>
      <c r="C11" s="98" t="s">
        <v>326</v>
      </c>
      <c r="D11" s="99" t="s">
        <v>327</v>
      </c>
      <c r="E11" s="100"/>
      <c r="F11" s="10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15290</v>
      </c>
      <c r="R11" s="10"/>
      <c r="S11" s="10">
        <f>SUM(E11:R11)</f>
        <v>15290</v>
      </c>
    </row>
    <row r="12" spans="1:19" ht="21" x14ac:dyDescent="0.35">
      <c r="A12" s="88" t="s">
        <v>106</v>
      </c>
      <c r="B12" s="103" t="s">
        <v>325</v>
      </c>
      <c r="C12" s="98" t="s">
        <v>303</v>
      </c>
      <c r="D12" s="99" t="s">
        <v>327</v>
      </c>
      <c r="E12" s="100"/>
      <c r="F12" s="100">
        <v>10000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10000</v>
      </c>
    </row>
    <row r="13" spans="1:19" ht="21" x14ac:dyDescent="0.35">
      <c r="A13" s="88" t="s">
        <v>107</v>
      </c>
      <c r="B13" s="103" t="s">
        <v>325</v>
      </c>
      <c r="C13" s="98" t="s">
        <v>303</v>
      </c>
      <c r="D13" s="99" t="s">
        <v>327</v>
      </c>
      <c r="E13" s="100"/>
      <c r="F13" s="10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15000</v>
      </c>
      <c r="R13" s="10"/>
      <c r="S13" s="10">
        <f t="shared" si="2"/>
        <v>15000</v>
      </c>
    </row>
    <row r="14" spans="1:19" ht="21" x14ac:dyDescent="0.35">
      <c r="A14" s="88" t="s">
        <v>108</v>
      </c>
      <c r="B14" s="103" t="s">
        <v>325</v>
      </c>
      <c r="C14" s="98" t="s">
        <v>283</v>
      </c>
      <c r="D14" s="99" t="s">
        <v>327</v>
      </c>
      <c r="E14" s="100"/>
      <c r="F14" s="100">
        <v>10000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10000</v>
      </c>
    </row>
    <row r="15" spans="1:19" ht="21" x14ac:dyDescent="0.35">
      <c r="A15" s="88" t="s">
        <v>109</v>
      </c>
      <c r="B15" s="103" t="s">
        <v>325</v>
      </c>
      <c r="C15" s="98" t="s">
        <v>326</v>
      </c>
      <c r="D15" s="99" t="s">
        <v>327</v>
      </c>
      <c r="E15" s="100"/>
      <c r="F15" s="100">
        <v>9710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9710</v>
      </c>
    </row>
    <row r="16" spans="1:19" ht="21" x14ac:dyDescent="0.35">
      <c r="A16" s="88" t="s">
        <v>110</v>
      </c>
      <c r="B16" s="103" t="s">
        <v>325</v>
      </c>
      <c r="C16" s="98" t="s">
        <v>328</v>
      </c>
      <c r="D16" s="99" t="s">
        <v>327</v>
      </c>
      <c r="E16" s="100"/>
      <c r="F16" s="100">
        <v>25000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25000</v>
      </c>
    </row>
    <row r="17" spans="1:19" ht="21" x14ac:dyDescent="0.35">
      <c r="A17" s="88" t="s">
        <v>111</v>
      </c>
      <c r="B17" s="103" t="s">
        <v>325</v>
      </c>
      <c r="C17" s="98" t="s">
        <v>283</v>
      </c>
      <c r="D17" s="99" t="s">
        <v>327</v>
      </c>
      <c r="E17" s="100"/>
      <c r="F17" s="100">
        <v>15000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15000</v>
      </c>
    </row>
    <row r="18" spans="1:19" x14ac:dyDescent="0.3">
      <c r="A18" s="88" t="s">
        <v>112</v>
      </c>
      <c r="B18" s="85" t="s">
        <v>389</v>
      </c>
      <c r="C18" s="86" t="s">
        <v>303</v>
      </c>
      <c r="D18" s="86" t="s">
        <v>327</v>
      </c>
      <c r="E18" s="10"/>
      <c r="F18" s="10"/>
      <c r="G18" s="10">
        <v>500</v>
      </c>
      <c r="H18" s="92" t="s">
        <v>285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500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0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งปม.'!D49</f>
        <v>30000</v>
      </c>
      <c r="F5" s="10">
        <f>'จัดสรร งปม.'!E49</f>
        <v>20000</v>
      </c>
      <c r="G5" s="10">
        <f>'จัดสรร งปม.'!F49</f>
        <v>4000</v>
      </c>
      <c r="H5" s="10">
        <f>'จัดสรร งปม.'!G49</f>
        <v>0</v>
      </c>
      <c r="I5" s="10">
        <f>'จัดสรร งปม.'!H49</f>
        <v>0</v>
      </c>
      <c r="J5" s="10">
        <f>'จัดสรร งปม.'!I49</f>
        <v>0</v>
      </c>
      <c r="K5" s="10">
        <f>'จัดสรร งปม.'!J49</f>
        <v>0</v>
      </c>
      <c r="L5" s="10">
        <f>'จัดสรร งปม.'!K49</f>
        <v>0</v>
      </c>
      <c r="M5" s="10"/>
      <c r="N5" s="10">
        <f>'จัดสรร งปม.'!L49</f>
        <v>0</v>
      </c>
      <c r="O5" s="10"/>
      <c r="P5" s="10">
        <f>'จัดสรร งปม.'!N49</f>
        <v>0</v>
      </c>
      <c r="Q5" s="10">
        <f>'จัดสรร งปม.'!P49</f>
        <v>0</v>
      </c>
      <c r="R5" s="10">
        <f>'จัดสรร งปม.'!Q49</f>
        <v>0</v>
      </c>
      <c r="S5" s="10">
        <f>'จัดสรร งปม.'!R49</f>
        <v>54000</v>
      </c>
    </row>
    <row r="6" spans="1:19" x14ac:dyDescent="0.3">
      <c r="D6" s="49" t="s">
        <v>94</v>
      </c>
      <c r="E6" s="10">
        <f>SUM(E11:E45)</f>
        <v>30000</v>
      </c>
      <c r="F6" s="10">
        <f t="shared" ref="F6:S6" si="0">SUM(F11:F45)</f>
        <v>20000</v>
      </c>
      <c r="G6" s="10">
        <f t="shared" si="0"/>
        <v>4000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54000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งปม.'!$B$49</f>
        <v>404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งปม.'!$C$49</f>
        <v>แผนกวิชาช่างอิเล็กทรอนิกส์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4" t="s">
        <v>321</v>
      </c>
      <c r="C11" s="105" t="s">
        <v>329</v>
      </c>
      <c r="D11" s="105" t="s">
        <v>330</v>
      </c>
      <c r="E11" s="100">
        <v>15000</v>
      </c>
      <c r="F11" s="10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15000</v>
      </c>
    </row>
    <row r="12" spans="1:19" ht="21" x14ac:dyDescent="0.35">
      <c r="A12" s="88" t="s">
        <v>106</v>
      </c>
      <c r="B12" s="104" t="s">
        <v>321</v>
      </c>
      <c r="C12" s="105" t="s">
        <v>282</v>
      </c>
      <c r="D12" s="105" t="s">
        <v>330</v>
      </c>
      <c r="E12" s="100">
        <v>15000</v>
      </c>
      <c r="F12" s="10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15000</v>
      </c>
    </row>
    <row r="13" spans="1:19" ht="21" x14ac:dyDescent="0.35">
      <c r="A13" s="88" t="s">
        <v>107</v>
      </c>
      <c r="B13" s="104" t="s">
        <v>321</v>
      </c>
      <c r="C13" s="105" t="s">
        <v>271</v>
      </c>
      <c r="D13" s="105" t="s">
        <v>330</v>
      </c>
      <c r="E13" s="100"/>
      <c r="F13" s="100">
        <v>15000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15000</v>
      </c>
    </row>
    <row r="14" spans="1:19" ht="21" x14ac:dyDescent="0.35">
      <c r="A14" s="88" t="s">
        <v>108</v>
      </c>
      <c r="B14" s="104" t="s">
        <v>321</v>
      </c>
      <c r="C14" s="105" t="s">
        <v>271</v>
      </c>
      <c r="D14" s="105" t="s">
        <v>330</v>
      </c>
      <c r="E14" s="100"/>
      <c r="F14" s="100">
        <v>5000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5000</v>
      </c>
    </row>
    <row r="15" spans="1:19" x14ac:dyDescent="0.3">
      <c r="A15" s="88" t="s">
        <v>109</v>
      </c>
      <c r="B15" s="85" t="s">
        <v>392</v>
      </c>
      <c r="C15" s="86" t="s">
        <v>271</v>
      </c>
      <c r="D15" s="86" t="s">
        <v>330</v>
      </c>
      <c r="E15" s="10"/>
      <c r="F15" s="10"/>
      <c r="G15" s="10">
        <v>2000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2000</v>
      </c>
    </row>
    <row r="16" spans="1:19" x14ac:dyDescent="0.3">
      <c r="A16" s="88" t="s">
        <v>110</v>
      </c>
      <c r="B16" s="85" t="s">
        <v>392</v>
      </c>
      <c r="C16" s="86" t="s">
        <v>282</v>
      </c>
      <c r="D16" s="86" t="s">
        <v>330</v>
      </c>
      <c r="E16" s="10"/>
      <c r="F16" s="10"/>
      <c r="G16" s="10">
        <v>2000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2000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5"/>
      <c r="C26" s="86"/>
      <c r="D26" s="8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งปม.'!D50</f>
        <v>4942</v>
      </c>
      <c r="F5" s="10">
        <f>'จัดสรร งปม.'!E50</f>
        <v>45058</v>
      </c>
      <c r="G5" s="10">
        <f>'จัดสรร งปม.'!F50</f>
        <v>0</v>
      </c>
      <c r="H5" s="10">
        <f>'จัดสรร งปม.'!G50</f>
        <v>0</v>
      </c>
      <c r="I5" s="10">
        <f>'จัดสรร งปม.'!H50</f>
        <v>0</v>
      </c>
      <c r="J5" s="10">
        <f>'จัดสรร งปม.'!I50</f>
        <v>0</v>
      </c>
      <c r="K5" s="10">
        <f>'จัดสรร งปม.'!J50</f>
        <v>0</v>
      </c>
      <c r="L5" s="10">
        <f>'จัดสรร งปม.'!K50</f>
        <v>0</v>
      </c>
      <c r="M5" s="10"/>
      <c r="N5" s="10">
        <f>'จัดสรร งปม.'!L50</f>
        <v>0</v>
      </c>
      <c r="O5" s="10"/>
      <c r="P5" s="10">
        <f>'จัดสรร งปม.'!N50</f>
        <v>0</v>
      </c>
      <c r="Q5" s="10">
        <f>'จัดสรร งปม.'!P50</f>
        <v>0</v>
      </c>
      <c r="R5" s="10">
        <f>'จัดสรร งปม.'!Q50</f>
        <v>0</v>
      </c>
      <c r="S5" s="10">
        <f>'จัดสรร งปม.'!R50</f>
        <v>50000</v>
      </c>
    </row>
    <row r="6" spans="1:19" x14ac:dyDescent="0.3">
      <c r="D6" s="49" t="s">
        <v>94</v>
      </c>
      <c r="E6" s="10">
        <f>SUM(E11:E45)</f>
        <v>4942</v>
      </c>
      <c r="F6" s="10">
        <f t="shared" ref="F6:S6" si="0">SUM(F11:F45)</f>
        <v>45058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50000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งปม.'!$B$50</f>
        <v>405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งปม.'!$C$50</f>
        <v>แผนกวิชาการบัญชี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21" t="s">
        <v>105</v>
      </c>
      <c r="B11" s="103" t="s">
        <v>235</v>
      </c>
      <c r="C11" s="98" t="s">
        <v>331</v>
      </c>
      <c r="D11" s="99" t="s">
        <v>332</v>
      </c>
      <c r="E11" s="100"/>
      <c r="F11" s="100">
        <v>11850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11850</v>
      </c>
    </row>
    <row r="12" spans="1:19" ht="21" x14ac:dyDescent="0.35">
      <c r="A12" s="42" t="s">
        <v>106</v>
      </c>
      <c r="B12" s="103" t="s">
        <v>235</v>
      </c>
      <c r="C12" s="98" t="s">
        <v>300</v>
      </c>
      <c r="D12" s="99" t="s">
        <v>332</v>
      </c>
      <c r="E12" s="100">
        <v>2106</v>
      </c>
      <c r="F12" s="10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2106</v>
      </c>
    </row>
    <row r="13" spans="1:19" ht="21" x14ac:dyDescent="0.35">
      <c r="A13" s="42" t="s">
        <v>107</v>
      </c>
      <c r="B13" s="103" t="s">
        <v>235</v>
      </c>
      <c r="C13" s="98" t="s">
        <v>300</v>
      </c>
      <c r="D13" s="99" t="s">
        <v>332</v>
      </c>
      <c r="E13" s="100">
        <v>2836</v>
      </c>
      <c r="F13" s="10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2836</v>
      </c>
    </row>
    <row r="14" spans="1:19" ht="21" x14ac:dyDescent="0.35">
      <c r="A14" s="42" t="s">
        <v>108</v>
      </c>
      <c r="B14" s="103" t="s">
        <v>235</v>
      </c>
      <c r="C14" s="98" t="s">
        <v>300</v>
      </c>
      <c r="D14" s="99" t="s">
        <v>332</v>
      </c>
      <c r="E14" s="100"/>
      <c r="F14" s="100">
        <v>12440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12440</v>
      </c>
    </row>
    <row r="15" spans="1:19" ht="21" x14ac:dyDescent="0.35">
      <c r="A15" s="42" t="s">
        <v>109</v>
      </c>
      <c r="B15" s="103" t="s">
        <v>235</v>
      </c>
      <c r="C15" s="98" t="s">
        <v>333</v>
      </c>
      <c r="D15" s="99" t="s">
        <v>332</v>
      </c>
      <c r="E15" s="100"/>
      <c r="F15" s="100">
        <v>20768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20768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6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งปม.'!D51</f>
        <v>30000</v>
      </c>
      <c r="F5" s="10">
        <f>'จัดสรร งปม.'!E51</f>
        <v>20000</v>
      </c>
      <c r="G5" s="10">
        <f>'จัดสรร งปม.'!F51</f>
        <v>13500</v>
      </c>
      <c r="H5" s="10">
        <f>'จัดสรร งปม.'!G51</f>
        <v>0</v>
      </c>
      <c r="I5" s="10">
        <f>'จัดสรร งปม.'!H51</f>
        <v>0</v>
      </c>
      <c r="J5" s="10">
        <f>'จัดสรร งปม.'!I51</f>
        <v>0</v>
      </c>
      <c r="K5" s="10">
        <f>'จัดสรร งปม.'!J51</f>
        <v>0</v>
      </c>
      <c r="L5" s="10">
        <f>'จัดสรร งปม.'!K51</f>
        <v>0</v>
      </c>
      <c r="M5" s="10"/>
      <c r="N5" s="10">
        <f>'จัดสรร งปม.'!L51</f>
        <v>0</v>
      </c>
      <c r="O5" s="10"/>
      <c r="P5" s="10">
        <f>'จัดสรร งปม.'!N51</f>
        <v>0</v>
      </c>
      <c r="Q5" s="10">
        <f>'จัดสรร งปม.'!P51</f>
        <v>0</v>
      </c>
      <c r="R5" s="10">
        <f>'จัดสรร งปม.'!Q51</f>
        <v>0</v>
      </c>
      <c r="S5" s="10">
        <f>'จัดสรร งปม.'!R51</f>
        <v>63500</v>
      </c>
    </row>
    <row r="6" spans="1:19" x14ac:dyDescent="0.3">
      <c r="D6" s="49" t="s">
        <v>94</v>
      </c>
      <c r="E6" s="10">
        <f>SUM(E11:E45)</f>
        <v>30000</v>
      </c>
      <c r="F6" s="10">
        <f t="shared" ref="F6:S6" si="0">SUM(F11:F45)</f>
        <v>20000</v>
      </c>
      <c r="G6" s="10">
        <f t="shared" si="0"/>
        <v>13500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63500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งปม.'!$B$51</f>
        <v>406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งปม.'!$C$51</f>
        <v>แผนกวิชาเทคโนโลยีสารสนเทศ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97" t="s">
        <v>321</v>
      </c>
      <c r="C11" s="98" t="s">
        <v>270</v>
      </c>
      <c r="D11" s="99" t="s">
        <v>334</v>
      </c>
      <c r="E11" s="100">
        <v>30000</v>
      </c>
      <c r="F11" s="100"/>
      <c r="G11" s="10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30000</v>
      </c>
    </row>
    <row r="12" spans="1:19" ht="21" x14ac:dyDescent="0.35">
      <c r="A12" s="88" t="s">
        <v>106</v>
      </c>
      <c r="B12" s="97" t="s">
        <v>321</v>
      </c>
      <c r="C12" s="98" t="s">
        <v>270</v>
      </c>
      <c r="D12" s="99" t="s">
        <v>334</v>
      </c>
      <c r="E12" s="100"/>
      <c r="F12" s="100">
        <v>20000</v>
      </c>
      <c r="G12" s="10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20000</v>
      </c>
    </row>
    <row r="13" spans="1:19" ht="21" x14ac:dyDescent="0.35">
      <c r="A13" s="88" t="s">
        <v>107</v>
      </c>
      <c r="B13" s="97" t="s">
        <v>335</v>
      </c>
      <c r="C13" s="98" t="s">
        <v>336</v>
      </c>
      <c r="D13" s="99" t="s">
        <v>334</v>
      </c>
      <c r="E13" s="100"/>
      <c r="F13" s="100"/>
      <c r="G13" s="100">
        <v>10500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10500</v>
      </c>
    </row>
    <row r="14" spans="1:19" ht="21" x14ac:dyDescent="0.35">
      <c r="A14" s="88" t="s">
        <v>108</v>
      </c>
      <c r="B14" s="97" t="s">
        <v>337</v>
      </c>
      <c r="C14" s="98" t="s">
        <v>336</v>
      </c>
      <c r="D14" s="99" t="s">
        <v>334</v>
      </c>
      <c r="E14" s="100"/>
      <c r="F14" s="100"/>
      <c r="G14" s="100">
        <v>3000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3000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0.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งปม.'!D52</f>
        <v>62605</v>
      </c>
      <c r="F5" s="10">
        <f>'จัดสรร งปม.'!E52</f>
        <v>0</v>
      </c>
      <c r="G5" s="10">
        <f>'จัดสรร งปม.'!F52</f>
        <v>4930</v>
      </c>
      <c r="H5" s="10">
        <f>'จัดสรร งปม.'!G52</f>
        <v>0</v>
      </c>
      <c r="I5" s="10">
        <f>'จัดสรร งปม.'!H52</f>
        <v>0</v>
      </c>
      <c r="J5" s="10">
        <f>'จัดสรร งปม.'!I52</f>
        <v>0</v>
      </c>
      <c r="K5" s="10">
        <f>'จัดสรร งปม.'!J52</f>
        <v>0</v>
      </c>
      <c r="L5" s="10">
        <f>'จัดสรร งปม.'!K52</f>
        <v>0</v>
      </c>
      <c r="M5" s="10"/>
      <c r="N5" s="10">
        <f>'จัดสรร งปม.'!L52</f>
        <v>0</v>
      </c>
      <c r="O5" s="10"/>
      <c r="P5" s="10">
        <f>'จัดสรร งปม.'!N52</f>
        <v>0</v>
      </c>
      <c r="Q5" s="10">
        <f>'จัดสรร งปม.'!P52</f>
        <v>7395</v>
      </c>
      <c r="R5" s="10">
        <f>'จัดสรร งปม.'!Q52</f>
        <v>0</v>
      </c>
      <c r="S5" s="10">
        <f>'จัดสรร งปม.'!R52</f>
        <v>74930</v>
      </c>
    </row>
    <row r="6" spans="1:19" x14ac:dyDescent="0.3">
      <c r="D6" s="49" t="s">
        <v>94</v>
      </c>
      <c r="E6" s="10">
        <f>SUM(E11:E45)</f>
        <v>62605</v>
      </c>
      <c r="F6" s="10">
        <f t="shared" ref="F6:S6" si="0">SUM(F11:F45)</f>
        <v>0</v>
      </c>
      <c r="G6" s="10">
        <f t="shared" si="0"/>
        <v>4930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7395</v>
      </c>
      <c r="R6" s="10">
        <f t="shared" si="0"/>
        <v>0</v>
      </c>
      <c r="S6" s="10">
        <f t="shared" si="0"/>
        <v>74930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งปม.'!$B$52</f>
        <v>407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งปม.'!$C$52</f>
        <v>แผนกวิชาเทคนิคพื้นฐาน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97" t="s">
        <v>321</v>
      </c>
      <c r="C11" s="98" t="s">
        <v>339</v>
      </c>
      <c r="D11" s="99" t="s">
        <v>340</v>
      </c>
      <c r="E11" s="100">
        <v>5485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5485</v>
      </c>
    </row>
    <row r="12" spans="1:19" ht="21" x14ac:dyDescent="0.35">
      <c r="A12" s="88" t="s">
        <v>106</v>
      </c>
      <c r="B12" s="97" t="s">
        <v>321</v>
      </c>
      <c r="C12" s="98" t="s">
        <v>341</v>
      </c>
      <c r="D12" s="99" t="s">
        <v>340</v>
      </c>
      <c r="E12" s="100">
        <v>57120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57120</v>
      </c>
    </row>
    <row r="13" spans="1:19" ht="21" x14ac:dyDescent="0.35">
      <c r="A13" s="88" t="s">
        <v>107</v>
      </c>
      <c r="B13" s="97" t="s">
        <v>364</v>
      </c>
      <c r="C13" s="98" t="s">
        <v>339</v>
      </c>
      <c r="D13" s="99" t="s">
        <v>340</v>
      </c>
      <c r="E13" s="10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7395</v>
      </c>
      <c r="R13" s="10"/>
      <c r="S13" s="10">
        <f t="shared" si="2"/>
        <v>7395</v>
      </c>
    </row>
    <row r="14" spans="1:19" x14ac:dyDescent="0.3">
      <c r="A14" s="88" t="s">
        <v>108</v>
      </c>
      <c r="B14" s="81" t="s">
        <v>396</v>
      </c>
      <c r="C14" s="44" t="s">
        <v>339</v>
      </c>
      <c r="D14" s="44" t="s">
        <v>340</v>
      </c>
      <c r="E14" s="10"/>
      <c r="F14" s="10"/>
      <c r="G14" s="10">
        <v>4930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4930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2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งปม.'!D53</f>
        <v>0</v>
      </c>
      <c r="F5" s="10">
        <f>'จัดสรร งปม.'!E53</f>
        <v>20000</v>
      </c>
      <c r="G5" s="10">
        <f>'จัดสรร งปม.'!F53</f>
        <v>0</v>
      </c>
      <c r="H5" s="10">
        <f>'จัดสรร งปม.'!G53</f>
        <v>0</v>
      </c>
      <c r="I5" s="10">
        <f>'จัดสรร งปม.'!H53</f>
        <v>0</v>
      </c>
      <c r="J5" s="10">
        <f>'จัดสรร งปม.'!I53</f>
        <v>0</v>
      </c>
      <c r="K5" s="10">
        <f>'จัดสรร งปม.'!J53</f>
        <v>0</v>
      </c>
      <c r="L5" s="10">
        <f>'จัดสรร งปม.'!K53</f>
        <v>0</v>
      </c>
      <c r="M5" s="10"/>
      <c r="N5" s="10">
        <f>'จัดสรร งปม.'!L53</f>
        <v>0</v>
      </c>
      <c r="O5" s="10"/>
      <c r="P5" s="10">
        <f>'จัดสรร งปม.'!N53</f>
        <v>0</v>
      </c>
      <c r="Q5" s="10">
        <f>'จัดสรร งปม.'!P53</f>
        <v>50000</v>
      </c>
      <c r="R5" s="10">
        <f>'จัดสรร งปม.'!Q53</f>
        <v>0</v>
      </c>
      <c r="S5" s="10">
        <f>'จัดสรร งปม.'!R53</f>
        <v>70000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20000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30000</v>
      </c>
      <c r="R6" s="10">
        <f t="shared" si="0"/>
        <v>0</v>
      </c>
      <c r="S6" s="10">
        <f t="shared" si="0"/>
        <v>50000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20000</v>
      </c>
      <c r="R7" s="10">
        <f t="shared" si="1"/>
        <v>0</v>
      </c>
      <c r="S7" s="10">
        <f t="shared" si="1"/>
        <v>20000</v>
      </c>
    </row>
    <row r="8" spans="1:19" x14ac:dyDescent="0.3">
      <c r="B8" s="49" t="s">
        <v>99</v>
      </c>
      <c r="C8" s="79">
        <f>'จัดสรร งปม.'!$B$53</f>
        <v>408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งปม.'!$C$53</f>
        <v>แผนกวิชาสามัญสัมพันธ์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342</v>
      </c>
      <c r="C11" s="98" t="s">
        <v>242</v>
      </c>
      <c r="D11" s="99" t="s">
        <v>243</v>
      </c>
      <c r="E11" s="100"/>
      <c r="F11" s="10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30000</v>
      </c>
      <c r="R11" s="10"/>
      <c r="S11" s="10">
        <f>SUM(E11:R11)</f>
        <v>30000</v>
      </c>
    </row>
    <row r="12" spans="1:19" ht="21" x14ac:dyDescent="0.35">
      <c r="A12" s="93" t="s">
        <v>106</v>
      </c>
      <c r="B12" s="103" t="s">
        <v>342</v>
      </c>
      <c r="C12" s="98" t="s">
        <v>242</v>
      </c>
      <c r="D12" s="99" t="s">
        <v>243</v>
      </c>
      <c r="E12" s="100"/>
      <c r="F12" s="100">
        <v>20000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20000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7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งปม.'!D54</f>
        <v>0</v>
      </c>
      <c r="F5" s="10">
        <f>'จัดสรร งปม.'!E54</f>
        <v>0</v>
      </c>
      <c r="G5" s="10">
        <f>'จัดสรร งปม.'!F54</f>
        <v>0</v>
      </c>
      <c r="H5" s="10">
        <f>'จัดสรร งปม.'!G54</f>
        <v>0</v>
      </c>
      <c r="I5" s="10">
        <f>'จัดสรร งปม.'!H54</f>
        <v>0</v>
      </c>
      <c r="J5" s="10">
        <f>'จัดสรร งปม.'!I54</f>
        <v>0</v>
      </c>
      <c r="K5" s="10">
        <f>'จัดสรร งปม.'!J54</f>
        <v>0</v>
      </c>
      <c r="L5" s="10">
        <f>'จัดสรร งปม.'!K54</f>
        <v>0</v>
      </c>
      <c r="M5" s="10"/>
      <c r="N5" s="10">
        <f>'จัดสรร งปม.'!L54</f>
        <v>0</v>
      </c>
      <c r="O5" s="10"/>
      <c r="P5" s="10">
        <f>'จัดสรร งปม.'!N54</f>
        <v>3000</v>
      </c>
      <c r="Q5" s="10">
        <f>'จัดสรร งปม.'!P54</f>
        <v>0</v>
      </c>
      <c r="R5" s="10">
        <f>'จัดสรร งปม.'!Q54</f>
        <v>0</v>
      </c>
      <c r="S5" s="10">
        <f>'จัดสรร งปม.'!R54</f>
        <v>3000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3000</v>
      </c>
      <c r="Q6" s="10">
        <f t="shared" si="0"/>
        <v>0</v>
      </c>
      <c r="R6" s="10">
        <f t="shared" si="0"/>
        <v>0</v>
      </c>
      <c r="S6" s="10">
        <f t="shared" si="0"/>
        <v>3000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งปม.'!$B$54</f>
        <v>409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งปม.'!$C$54</f>
        <v>ฝ่ายวิชาการ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21" t="s">
        <v>105</v>
      </c>
      <c r="B11" s="42" t="s">
        <v>381</v>
      </c>
      <c r="C11" s="44" t="s">
        <v>382</v>
      </c>
      <c r="D11" s="128" t="s">
        <v>383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3000</v>
      </c>
      <c r="Q11" s="10"/>
      <c r="R11" s="10"/>
      <c r="S11" s="10">
        <f>SUM(E11:R11)</f>
        <v>3000</v>
      </c>
    </row>
    <row r="12" spans="1:19" ht="21.75" x14ac:dyDescent="0.5">
      <c r="A12" s="42" t="s">
        <v>106</v>
      </c>
      <c r="B12" s="42"/>
      <c r="C12" s="44"/>
      <c r="D12" s="12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42"/>
      <c r="C13" s="44"/>
      <c r="D13" s="12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42"/>
      <c r="C14" s="44"/>
      <c r="D14" s="12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42"/>
      <c r="C15" s="44"/>
      <c r="D15" s="12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42"/>
      <c r="C16" s="44"/>
      <c r="D16" s="12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44"/>
      <c r="D17" s="12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44"/>
      <c r="D18" s="12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44"/>
      <c r="D19" s="12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44"/>
      <c r="D20" s="12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44"/>
      <c r="D21" s="12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44"/>
      <c r="D22" s="12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44"/>
      <c r="D23" s="12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42"/>
      <c r="C24" s="44"/>
      <c r="D24" s="12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42"/>
      <c r="C25" s="44"/>
      <c r="D25" s="12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42"/>
      <c r="C26" s="44"/>
      <c r="D26" s="12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42"/>
      <c r="C27" s="44"/>
      <c r="D27" s="12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42"/>
      <c r="C28" s="44"/>
      <c r="D28" s="12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12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12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12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งปม.'!D55</f>
        <v>0</v>
      </c>
      <c r="F5" s="10">
        <f>'จัดสรร งปม.'!E55</f>
        <v>0</v>
      </c>
      <c r="G5" s="10">
        <f>'จัดสรร งปม.'!F55</f>
        <v>8300</v>
      </c>
      <c r="H5" s="10">
        <f>'จัดสรร งปม.'!G55</f>
        <v>0</v>
      </c>
      <c r="I5" s="10">
        <f>'จัดสรร งปม.'!H55</f>
        <v>0</v>
      </c>
      <c r="J5" s="10">
        <f>'จัดสรร งปม.'!I55</f>
        <v>0</v>
      </c>
      <c r="K5" s="10">
        <f>'จัดสรร งปม.'!J55</f>
        <v>0</v>
      </c>
      <c r="L5" s="10">
        <f>'จัดสรร งปม.'!K55</f>
        <v>0</v>
      </c>
      <c r="M5" s="10"/>
      <c r="N5" s="10">
        <f>'จัดสรร งปม.'!L55</f>
        <v>0</v>
      </c>
      <c r="O5" s="10"/>
      <c r="P5" s="10">
        <f>'จัดสรร งปม.'!N55</f>
        <v>0</v>
      </c>
      <c r="Q5" s="10">
        <f>'จัดสรร งปม.'!P55</f>
        <v>77400</v>
      </c>
      <c r="R5" s="10">
        <f>'จัดสรร งปม.'!Q55</f>
        <v>0</v>
      </c>
      <c r="S5" s="10">
        <f>'จัดสรร งปม.'!R55</f>
        <v>85700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8300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77400</v>
      </c>
      <c r="R6" s="10">
        <f t="shared" si="0"/>
        <v>0</v>
      </c>
      <c r="S6" s="10">
        <f t="shared" si="0"/>
        <v>85700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งปม.'!$B$55</f>
        <v>410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งปม.'!$C$55</f>
        <v>ฝ่ายพัฒนากิจการนักเรียนนักศึกษา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279</v>
      </c>
      <c r="C11" s="99" t="s">
        <v>343</v>
      </c>
      <c r="D11" s="98" t="s">
        <v>344</v>
      </c>
      <c r="E11" s="100"/>
      <c r="F11" s="100"/>
      <c r="G11" s="100">
        <v>8300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8300</v>
      </c>
    </row>
    <row r="12" spans="1:19" ht="21" x14ac:dyDescent="0.35">
      <c r="A12" s="88" t="s">
        <v>106</v>
      </c>
      <c r="B12" s="103" t="s">
        <v>345</v>
      </c>
      <c r="C12" s="99" t="s">
        <v>343</v>
      </c>
      <c r="D12" s="98" t="s">
        <v>344</v>
      </c>
      <c r="E12" s="100"/>
      <c r="F12" s="100"/>
      <c r="G12" s="100"/>
      <c r="H12" s="10"/>
      <c r="I12" s="10"/>
      <c r="J12" s="10"/>
      <c r="K12" s="10"/>
      <c r="L12" s="10"/>
      <c r="M12" s="10"/>
      <c r="N12" s="10"/>
      <c r="O12" s="10"/>
      <c r="P12" s="10"/>
      <c r="Q12" s="10">
        <v>77400</v>
      </c>
      <c r="R12" s="10"/>
      <c r="S12" s="10">
        <f t="shared" ref="S12:S45" si="2">SUM(E12:R12)</f>
        <v>77400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3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งปม.'!D56</f>
        <v>0</v>
      </c>
      <c r="F5" s="10">
        <f>'จัดสรร งปม.'!E56</f>
        <v>0</v>
      </c>
      <c r="G5" s="10">
        <f>'จัดสรร งปม.'!F56</f>
        <v>1350</v>
      </c>
      <c r="H5" s="10">
        <f>'จัดสรร งปม.'!G56</f>
        <v>0</v>
      </c>
      <c r="I5" s="10">
        <f>'จัดสรร งปม.'!H56</f>
        <v>0</v>
      </c>
      <c r="J5" s="10">
        <f>'จัดสรร งปม.'!I56</f>
        <v>0</v>
      </c>
      <c r="K5" s="10">
        <f>'จัดสรร งปม.'!J56</f>
        <v>0</v>
      </c>
      <c r="L5" s="10">
        <f>'จัดสรร งปม.'!K56</f>
        <v>0</v>
      </c>
      <c r="M5" s="10"/>
      <c r="N5" s="10">
        <f>'จัดสรร งปม.'!L56</f>
        <v>0</v>
      </c>
      <c r="O5" s="10"/>
      <c r="P5" s="10">
        <f>'จัดสรร งปม.'!N56</f>
        <v>0</v>
      </c>
      <c r="Q5" s="10">
        <f>'จัดสรร งปม.'!P56</f>
        <v>0</v>
      </c>
      <c r="R5" s="10">
        <f>'จัดสรร งปม.'!Q56</f>
        <v>0</v>
      </c>
      <c r="S5" s="10">
        <f>'จัดสรร งปม.'!R56</f>
        <v>1350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1350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1350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งปม.'!$B$56</f>
        <v>411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งปม.'!$C$56</f>
        <v>ฝ่ายแผนงานและความร่วมมือ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97" t="s">
        <v>265</v>
      </c>
      <c r="C11" s="98" t="s">
        <v>346</v>
      </c>
      <c r="D11" s="98" t="s">
        <v>347</v>
      </c>
      <c r="E11" s="100"/>
      <c r="F11" s="100"/>
      <c r="G11" s="100">
        <v>1350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1350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4.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งปม.'!D57</f>
        <v>0</v>
      </c>
      <c r="F5" s="10">
        <f>'จัดสรร งปม.'!E57</f>
        <v>0</v>
      </c>
      <c r="G5" s="10">
        <f>'จัดสรร งปม.'!F57</f>
        <v>5445</v>
      </c>
      <c r="H5" s="10">
        <f>'จัดสรร งปม.'!G57</f>
        <v>900</v>
      </c>
      <c r="I5" s="10">
        <f>'จัดสรร งปม.'!H57</f>
        <v>0</v>
      </c>
      <c r="J5" s="10">
        <f>'จัดสรร งปม.'!I57</f>
        <v>0</v>
      </c>
      <c r="K5" s="10">
        <f>'จัดสรร งปม.'!J57</f>
        <v>0</v>
      </c>
      <c r="L5" s="10">
        <f>'จัดสรร งปม.'!K57</f>
        <v>0</v>
      </c>
      <c r="M5" s="10">
        <f>'จัดสรร งปม.'!L57</f>
        <v>0</v>
      </c>
      <c r="N5" s="10">
        <f>'จัดสรร งปม.'!M57</f>
        <v>0</v>
      </c>
      <c r="O5" s="10">
        <f>'จัดสรร งปม.'!N57</f>
        <v>0</v>
      </c>
      <c r="P5" s="10">
        <f>'จัดสรร งปม.'!O57</f>
        <v>0</v>
      </c>
      <c r="Q5" s="10">
        <f>'จัดสรร งปม.'!P57</f>
        <v>49400</v>
      </c>
      <c r="R5" s="10">
        <f>'จัดสรร งปม.'!Q57</f>
        <v>0</v>
      </c>
      <c r="S5" s="10">
        <f>'จัดสรร งปม.'!R57</f>
        <v>55745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5445</v>
      </c>
      <c r="H6" s="10">
        <f t="shared" si="0"/>
        <v>900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>
        <f t="shared" si="0"/>
        <v>0</v>
      </c>
      <c r="N6" s="10">
        <f t="shared" si="0"/>
        <v>0</v>
      </c>
      <c r="O6" s="10">
        <f t="shared" si="0"/>
        <v>0</v>
      </c>
      <c r="P6" s="10">
        <f t="shared" si="0"/>
        <v>0</v>
      </c>
      <c r="Q6" s="10">
        <f t="shared" si="0"/>
        <v>49400</v>
      </c>
      <c r="R6" s="10">
        <f t="shared" si="0"/>
        <v>0</v>
      </c>
      <c r="S6" s="10">
        <f t="shared" si="0"/>
        <v>55745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>
        <f t="shared" si="1"/>
        <v>0</v>
      </c>
      <c r="N7" s="10">
        <f t="shared" si="1"/>
        <v>0</v>
      </c>
      <c r="O7" s="10">
        <f t="shared" si="1"/>
        <v>0</v>
      </c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งปม.'!$B$57</f>
        <v>412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งปม.'!$C$57</f>
        <v>ฝ่ายบริหารทรัพยากร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">
      <c r="A11" s="84" t="s">
        <v>105</v>
      </c>
      <c r="B11" s="104" t="s">
        <v>278</v>
      </c>
      <c r="C11" s="105" t="s">
        <v>348</v>
      </c>
      <c r="D11" s="105" t="s">
        <v>349</v>
      </c>
      <c r="E11" s="10"/>
      <c r="F11" s="10"/>
      <c r="G11" s="10"/>
      <c r="H11" s="10">
        <v>900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900</v>
      </c>
    </row>
    <row r="12" spans="1:19" ht="21" x14ac:dyDescent="0.3">
      <c r="A12" s="88" t="s">
        <v>106</v>
      </c>
      <c r="B12" s="104" t="s">
        <v>278</v>
      </c>
      <c r="C12" s="105" t="s">
        <v>313</v>
      </c>
      <c r="D12" s="105" t="s">
        <v>260</v>
      </c>
      <c r="E12" s="10"/>
      <c r="F12" s="10"/>
      <c r="G12" s="10">
        <v>300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300</v>
      </c>
    </row>
    <row r="13" spans="1:19" x14ac:dyDescent="0.3">
      <c r="A13" s="88" t="s">
        <v>107</v>
      </c>
      <c r="B13" s="85" t="s">
        <v>367</v>
      </c>
      <c r="C13" s="86" t="s">
        <v>336</v>
      </c>
      <c r="D13" s="86" t="s">
        <v>368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7050</v>
      </c>
      <c r="R13" s="10"/>
      <c r="S13" s="10">
        <f t="shared" si="2"/>
        <v>7050</v>
      </c>
    </row>
    <row r="14" spans="1:19" x14ac:dyDescent="0.3">
      <c r="A14" s="88" t="s">
        <v>108</v>
      </c>
      <c r="B14" s="85" t="s">
        <v>367</v>
      </c>
      <c r="C14" s="86" t="s">
        <v>369</v>
      </c>
      <c r="D14" s="86" t="s">
        <v>368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37200</v>
      </c>
      <c r="R14" s="10"/>
      <c r="S14" s="10">
        <f t="shared" si="2"/>
        <v>37200</v>
      </c>
    </row>
    <row r="15" spans="1:19" x14ac:dyDescent="0.3">
      <c r="A15" s="88" t="s">
        <v>109</v>
      </c>
      <c r="B15" s="85" t="s">
        <v>378</v>
      </c>
      <c r="C15" s="86" t="s">
        <v>379</v>
      </c>
      <c r="D15" s="86" t="s">
        <v>380</v>
      </c>
      <c r="E15" s="10"/>
      <c r="F15" s="10"/>
      <c r="G15" s="10">
        <v>1500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1500</v>
      </c>
    </row>
    <row r="16" spans="1:19" x14ac:dyDescent="0.3">
      <c r="A16" s="88" t="s">
        <v>110</v>
      </c>
      <c r="B16" s="85" t="s">
        <v>387</v>
      </c>
      <c r="C16" s="86" t="s">
        <v>310</v>
      </c>
      <c r="D16" s="86" t="s">
        <v>260</v>
      </c>
      <c r="E16" s="10"/>
      <c r="F16" s="10"/>
      <c r="G16" s="10">
        <v>1500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1500</v>
      </c>
    </row>
    <row r="17" spans="1:19" x14ac:dyDescent="0.3">
      <c r="A17" s="88" t="s">
        <v>111</v>
      </c>
      <c r="B17" s="85" t="s">
        <v>393</v>
      </c>
      <c r="C17" s="86" t="s">
        <v>313</v>
      </c>
      <c r="D17" s="86" t="s">
        <v>260</v>
      </c>
      <c r="E17" s="10"/>
      <c r="F17" s="10"/>
      <c r="G17" s="10">
        <v>2145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2145</v>
      </c>
    </row>
    <row r="18" spans="1:19" x14ac:dyDescent="0.3">
      <c r="A18" s="88" t="s">
        <v>112</v>
      </c>
      <c r="B18" s="85" t="s">
        <v>398</v>
      </c>
      <c r="C18" s="86" t="s">
        <v>369</v>
      </c>
      <c r="D18" s="86" t="s">
        <v>368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5150</v>
      </c>
      <c r="R18" s="10"/>
      <c r="S18" s="10">
        <f t="shared" si="2"/>
        <v>5150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งปม.'!D58</f>
        <v>0</v>
      </c>
      <c r="F5" s="10">
        <f>'จัดสรร งปม.'!E58</f>
        <v>0</v>
      </c>
      <c r="G5" s="10">
        <f>'จัดสรร งปม.'!F58</f>
        <v>0</v>
      </c>
      <c r="H5" s="10">
        <f>'จัดสรร งปม.'!G58</f>
        <v>0</v>
      </c>
      <c r="I5" s="10">
        <f>'จัดสรร งปม.'!H58</f>
        <v>0</v>
      </c>
      <c r="J5" s="10">
        <f>'จัดสรร งปม.'!I58</f>
        <v>0</v>
      </c>
      <c r="K5" s="10">
        <f>'จัดสรร งปม.'!J58</f>
        <v>0</v>
      </c>
      <c r="L5" s="10">
        <f>'จัดสรร งปม.'!K58</f>
        <v>0</v>
      </c>
      <c r="M5" s="10"/>
      <c r="N5" s="10">
        <f>'จัดสรร งปม.'!L58</f>
        <v>0</v>
      </c>
      <c r="O5" s="10"/>
      <c r="P5" s="10">
        <f>'จัดสรร งปม.'!N58</f>
        <v>0</v>
      </c>
      <c r="Q5" s="10">
        <f>'จัดสรร งปม.'!P58</f>
        <v>0</v>
      </c>
      <c r="R5" s="10">
        <f>'จัดสรร งปม.'!Q58</f>
        <v>0</v>
      </c>
      <c r="S5" s="10">
        <f>'จัดสรร งปม.'!R58</f>
        <v>0</v>
      </c>
    </row>
    <row r="6" spans="1:19" x14ac:dyDescent="0.3">
      <c r="D6" s="49" t="s">
        <v>94</v>
      </c>
      <c r="E6" s="10">
        <f>SUM(E11:E45)</f>
        <v>30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-30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-30</v>
      </c>
    </row>
    <row r="8" spans="1:19" x14ac:dyDescent="0.3">
      <c r="B8" s="49" t="s">
        <v>99</v>
      </c>
      <c r="C8" s="79">
        <f>'จัดสรร งปม.'!$B$58</f>
        <v>413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งปม.'!$C$58</f>
        <v>สำรอง 1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30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งปม.'!D59</f>
        <v>0</v>
      </c>
      <c r="F5" s="10">
        <f>'จัดสรร งปม.'!E59</f>
        <v>0</v>
      </c>
      <c r="G5" s="10">
        <f>'จัดสรร งปม.'!F59</f>
        <v>0</v>
      </c>
      <c r="H5" s="10">
        <f>'จัดสรร งปม.'!G59</f>
        <v>0</v>
      </c>
      <c r="I5" s="10">
        <f>'จัดสรร งปม.'!H59</f>
        <v>0</v>
      </c>
      <c r="J5" s="10">
        <f>'จัดสรร งปม.'!I59</f>
        <v>0</v>
      </c>
      <c r="K5" s="10">
        <f>'จัดสรร งปม.'!J59</f>
        <v>0</v>
      </c>
      <c r="L5" s="10">
        <f>'จัดสรร งปม.'!K59</f>
        <v>0</v>
      </c>
      <c r="M5" s="10"/>
      <c r="N5" s="10">
        <f>'จัดสรร งปม.'!L59</f>
        <v>0</v>
      </c>
      <c r="O5" s="10"/>
      <c r="P5" s="10">
        <f>'จัดสรร งปม.'!N59</f>
        <v>0</v>
      </c>
      <c r="Q5" s="10">
        <f>'จัดสรร งปม.'!P59</f>
        <v>0</v>
      </c>
      <c r="R5" s="10">
        <f>'จัดสรร งปม.'!Q59</f>
        <v>0</v>
      </c>
      <c r="S5" s="10">
        <f>'จัดสรร งปม.'!R59</f>
        <v>0</v>
      </c>
    </row>
    <row r="6" spans="1:19" x14ac:dyDescent="0.3">
      <c r="D6" s="49" t="s">
        <v>94</v>
      </c>
      <c r="E6" s="10">
        <f>SUM(E11:E45)</f>
        <v>40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-40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-40</v>
      </c>
    </row>
    <row r="8" spans="1:19" x14ac:dyDescent="0.3">
      <c r="B8" s="49" t="s">
        <v>99</v>
      </c>
      <c r="C8" s="79">
        <f>'จัดสรร งปม.'!$B$59</f>
        <v>414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งปม.'!$C$59</f>
        <v>สำรอง 2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40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งปม.'!D60</f>
        <v>0</v>
      </c>
      <c r="F5" s="10">
        <f>'จัดสรร งปม.'!E60</f>
        <v>0</v>
      </c>
      <c r="G5" s="10">
        <f>'จัดสรร งปม.'!F60</f>
        <v>0</v>
      </c>
      <c r="H5" s="10">
        <f>'จัดสรร งปม.'!G60</f>
        <v>0</v>
      </c>
      <c r="I5" s="10">
        <f>'จัดสรร งปม.'!H60</f>
        <v>0</v>
      </c>
      <c r="J5" s="10">
        <f>'จัดสรร งปม.'!I60</f>
        <v>0</v>
      </c>
      <c r="K5" s="10">
        <f>'จัดสรร งปม.'!J60</f>
        <v>0</v>
      </c>
      <c r="L5" s="10">
        <f>'จัดสรร งปม.'!K60</f>
        <v>0</v>
      </c>
      <c r="M5" s="10"/>
      <c r="N5" s="10">
        <f>'จัดสรร งปม.'!L60</f>
        <v>0</v>
      </c>
      <c r="O5" s="10"/>
      <c r="P5" s="10">
        <f>'จัดสรร งปม.'!N60</f>
        <v>0</v>
      </c>
      <c r="Q5" s="10">
        <f>'จัดสรร งปม.'!P60</f>
        <v>0</v>
      </c>
      <c r="R5" s="10">
        <f>'จัดสรร งปม.'!Q60</f>
        <v>0</v>
      </c>
      <c r="S5" s="10">
        <f>'จัดสรร งปม.'!R60</f>
        <v>0</v>
      </c>
    </row>
    <row r="6" spans="1:19" x14ac:dyDescent="0.3">
      <c r="D6" s="49" t="s">
        <v>94</v>
      </c>
      <c r="E6" s="10">
        <f>SUM(E11:E45)</f>
        <v>50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-50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-50</v>
      </c>
    </row>
    <row r="8" spans="1:19" x14ac:dyDescent="0.3">
      <c r="B8" s="49" t="s">
        <v>99</v>
      </c>
      <c r="C8" s="79">
        <f>'จัดสรร งปม.'!$B$60</f>
        <v>415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งปม.'!$C$60</f>
        <v>สำรอง 3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งปม.'!D61</f>
        <v>0</v>
      </c>
      <c r="F5" s="10">
        <f>'จัดสรร งปม.'!E61</f>
        <v>0</v>
      </c>
      <c r="G5" s="10">
        <f>'จัดสรร งปม.'!F61</f>
        <v>0</v>
      </c>
      <c r="H5" s="10">
        <f>'จัดสรร งปม.'!G61</f>
        <v>0</v>
      </c>
      <c r="I5" s="10">
        <f>'จัดสรร งปม.'!H61</f>
        <v>0</v>
      </c>
      <c r="J5" s="10">
        <f>'จัดสรร งปม.'!I61</f>
        <v>0</v>
      </c>
      <c r="K5" s="10">
        <f>'จัดสรร งปม.'!J61</f>
        <v>0</v>
      </c>
      <c r="L5" s="10">
        <f>'จัดสรร งปม.'!K61</f>
        <v>0</v>
      </c>
      <c r="M5" s="10"/>
      <c r="N5" s="10">
        <f>'จัดสรร งปม.'!L61</f>
        <v>0</v>
      </c>
      <c r="O5" s="10"/>
      <c r="P5" s="10">
        <f>'จัดสรร งปม.'!N61</f>
        <v>0</v>
      </c>
      <c r="Q5" s="10">
        <f>'จัดสรร งปม.'!P61</f>
        <v>0</v>
      </c>
      <c r="R5" s="10">
        <f>'จัดสรร งปม.'!Q61</f>
        <v>0</v>
      </c>
      <c r="S5" s="10">
        <f>'จัดสรร งปม.'!R61</f>
        <v>0</v>
      </c>
    </row>
    <row r="6" spans="1:19" x14ac:dyDescent="0.3">
      <c r="D6" s="49" t="s">
        <v>94</v>
      </c>
      <c r="E6" s="10">
        <f>SUM(E11:E45)</f>
        <v>60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-60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-60</v>
      </c>
    </row>
    <row r="8" spans="1:19" x14ac:dyDescent="0.3">
      <c r="B8" s="49" t="s">
        <v>99</v>
      </c>
      <c r="C8" s="79">
        <f>'จัดสรร งปม.'!$B$61</f>
        <v>416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งปม.'!$C$61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60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60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งปม.'!D62</f>
        <v>0</v>
      </c>
      <c r="F5" s="10">
        <f>'จัดสรร งปม.'!E62</f>
        <v>0</v>
      </c>
      <c r="G5" s="10">
        <f>'จัดสรร งปม.'!F62</f>
        <v>0</v>
      </c>
      <c r="H5" s="10">
        <f>'จัดสรร งปม.'!G62</f>
        <v>0</v>
      </c>
      <c r="I5" s="10">
        <f>'จัดสรร งปม.'!H62</f>
        <v>0</v>
      </c>
      <c r="J5" s="10">
        <f>'จัดสรร งปม.'!I62</f>
        <v>0</v>
      </c>
      <c r="K5" s="10">
        <f>'จัดสรร งปม.'!J62</f>
        <v>0</v>
      </c>
      <c r="L5" s="10">
        <f>'จัดสรร งปม.'!K62</f>
        <v>0</v>
      </c>
      <c r="M5" s="10"/>
      <c r="N5" s="10">
        <f>'จัดสรร งปม.'!L62</f>
        <v>0</v>
      </c>
      <c r="O5" s="10"/>
      <c r="P5" s="10">
        <f>'จัดสรร งปม.'!N62</f>
        <v>0</v>
      </c>
      <c r="Q5" s="10">
        <f>'จัดสรร งปม.'!P62</f>
        <v>0</v>
      </c>
      <c r="R5" s="10">
        <f>'จัดสรร งปม.'!Q62</f>
        <v>0</v>
      </c>
      <c r="S5" s="10">
        <f>'จัดสรร งปม.'!R62</f>
        <v>0</v>
      </c>
    </row>
    <row r="6" spans="1:19" x14ac:dyDescent="0.3">
      <c r="D6" s="49" t="s">
        <v>94</v>
      </c>
      <c r="E6" s="10">
        <f>SUM(E11:E45)</f>
        <v>70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70</v>
      </c>
    </row>
    <row r="7" spans="1:19" x14ac:dyDescent="0.3">
      <c r="B7" s="169" t="s">
        <v>155</v>
      </c>
      <c r="C7" s="169"/>
      <c r="D7" s="49" t="s">
        <v>96</v>
      </c>
      <c r="E7" s="10">
        <f>E5-E6</f>
        <v>-70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-70</v>
      </c>
    </row>
    <row r="8" spans="1:19" x14ac:dyDescent="0.3">
      <c r="B8" s="49" t="s">
        <v>99</v>
      </c>
      <c r="C8" s="79">
        <f>'จัดสรร งปม.'!$B$62</f>
        <v>417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งปม.'!$C$62</f>
        <v>สำรอง 5 (ผู้อำนวยการ)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70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70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0.625" style="1" customWidth="1"/>
    <col min="4" max="4" width="15.25" style="1" customWidth="1"/>
    <col min="5" max="5" width="11.125" style="1" customWidth="1"/>
    <col min="6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งปม.'!D64</f>
        <v>125109.46</v>
      </c>
      <c r="F5" s="10">
        <f>'จัดสรร งปม.'!E64</f>
        <v>0</v>
      </c>
      <c r="G5" s="10">
        <f>'จัดสรร งปม.'!F64</f>
        <v>0</v>
      </c>
      <c r="H5" s="10">
        <f>'จัดสรร งปม.'!G64</f>
        <v>0</v>
      </c>
      <c r="I5" s="10">
        <f>'จัดสรร งปม.'!H64</f>
        <v>0</v>
      </c>
      <c r="J5" s="10">
        <f>'จัดสรร งปม.'!I64</f>
        <v>0</v>
      </c>
      <c r="K5" s="10">
        <f>'จัดสรร งปม.'!J64</f>
        <v>0</v>
      </c>
      <c r="L5" s="10">
        <f>'จัดสรร งปม.'!K64</f>
        <v>0</v>
      </c>
      <c r="M5" s="10"/>
      <c r="N5" s="10">
        <f>'จัดสรร งปม.'!L64</f>
        <v>0</v>
      </c>
      <c r="O5" s="10"/>
      <c r="P5" s="31">
        <f>'จัดสรร งปม.'!O64</f>
        <v>1280.81</v>
      </c>
      <c r="Q5" s="10">
        <f>'จัดสรร งปม.'!P64</f>
        <v>0</v>
      </c>
      <c r="R5" s="10">
        <f>'จัดสรร งปม.'!Q64</f>
        <v>0</v>
      </c>
      <c r="S5" s="10">
        <f>'จัดสรร งปม.'!R64</f>
        <v>126390.27</v>
      </c>
    </row>
    <row r="6" spans="1:19" x14ac:dyDescent="0.3">
      <c r="D6" s="49" t="s">
        <v>94</v>
      </c>
      <c r="E6" s="10">
        <f>SUM(E11:E45)</f>
        <v>125109.45999999999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31">
        <f t="shared" si="0"/>
        <v>1280.81</v>
      </c>
      <c r="Q6" s="10">
        <f t="shared" si="0"/>
        <v>0</v>
      </c>
      <c r="R6" s="10">
        <f t="shared" si="0"/>
        <v>0</v>
      </c>
      <c r="S6" s="10">
        <f t="shared" si="0"/>
        <v>126390.27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31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งปม.'!$B$64</f>
        <v>501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งปม.'!$C$64</f>
        <v>ค่าไฟฟ้า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5" t="s">
        <v>279</v>
      </c>
      <c r="C11" s="44" t="s">
        <v>307</v>
      </c>
      <c r="D11" s="118" t="s">
        <v>260</v>
      </c>
      <c r="E11" s="22">
        <v>64377.36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64377.36</v>
      </c>
    </row>
    <row r="12" spans="1:19" x14ac:dyDescent="0.3">
      <c r="A12" s="88" t="s">
        <v>106</v>
      </c>
      <c r="B12" s="85" t="s">
        <v>286</v>
      </c>
      <c r="C12" s="44" t="s">
        <v>310</v>
      </c>
      <c r="D12" s="118" t="s">
        <v>260</v>
      </c>
      <c r="E12" s="22">
        <v>60732.1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60732.1</v>
      </c>
    </row>
    <row r="13" spans="1:19" x14ac:dyDescent="0.3">
      <c r="A13" s="88" t="s">
        <v>107</v>
      </c>
      <c r="B13" s="85" t="s">
        <v>291</v>
      </c>
      <c r="C13" s="44" t="s">
        <v>310</v>
      </c>
      <c r="D13" s="118" t="s">
        <v>260</v>
      </c>
      <c r="E13" s="2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2">
        <v>612.41</v>
      </c>
      <c r="Q13" s="10"/>
      <c r="R13" s="10"/>
      <c r="S13" s="31">
        <f t="shared" si="2"/>
        <v>612.41</v>
      </c>
    </row>
    <row r="14" spans="1:19" x14ac:dyDescent="0.3">
      <c r="A14" s="88" t="s">
        <v>108</v>
      </c>
      <c r="B14" s="85" t="s">
        <v>295</v>
      </c>
      <c r="C14" s="44" t="s">
        <v>310</v>
      </c>
      <c r="D14" s="118" t="s">
        <v>260</v>
      </c>
      <c r="E14" s="2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22">
        <v>323.85000000000002</v>
      </c>
      <c r="Q14" s="10"/>
      <c r="R14" s="10"/>
      <c r="S14" s="31">
        <f t="shared" si="2"/>
        <v>323.85000000000002</v>
      </c>
    </row>
    <row r="15" spans="1:19" x14ac:dyDescent="0.3">
      <c r="A15" s="88" t="s">
        <v>109</v>
      </c>
      <c r="B15" s="85" t="s">
        <v>367</v>
      </c>
      <c r="C15" s="121" t="s">
        <v>310</v>
      </c>
      <c r="D15" s="86" t="s">
        <v>260</v>
      </c>
      <c r="E15" s="117"/>
      <c r="F15" s="117"/>
      <c r="G15" s="117"/>
      <c r="H15" s="117"/>
      <c r="I15" s="117"/>
      <c r="J15" s="117"/>
      <c r="K15" s="117"/>
      <c r="L15" s="117"/>
      <c r="M15" s="124"/>
      <c r="N15" s="117"/>
      <c r="O15" s="117"/>
      <c r="P15" s="120">
        <v>344.55</v>
      </c>
      <c r="Q15" s="117"/>
      <c r="R15" s="10"/>
      <c r="S15" s="31">
        <f t="shared" si="2"/>
        <v>344.55</v>
      </c>
    </row>
    <row r="16" spans="1:19" ht="21.75" x14ac:dyDescent="0.5">
      <c r="A16" s="42" t="s">
        <v>110</v>
      </c>
      <c r="B16" s="85"/>
      <c r="C16" s="86"/>
      <c r="D16" s="86"/>
      <c r="E16" s="117"/>
      <c r="F16" s="117"/>
      <c r="G16" s="117"/>
      <c r="H16" s="117"/>
      <c r="I16" s="117"/>
      <c r="J16" s="117"/>
      <c r="K16" s="117"/>
      <c r="L16" s="117"/>
      <c r="M16" s="124"/>
      <c r="N16" s="117"/>
      <c r="O16" s="117"/>
      <c r="P16" s="117"/>
      <c r="Q16" s="117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17"/>
      <c r="F17" s="117"/>
      <c r="G17" s="117"/>
      <c r="H17" s="117"/>
      <c r="I17" s="117"/>
      <c r="J17" s="117"/>
      <c r="K17" s="117"/>
      <c r="L17" s="117"/>
      <c r="M17" s="124"/>
      <c r="N17" s="117"/>
      <c r="O17" s="117"/>
      <c r="P17" s="117"/>
      <c r="Q17" s="117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17"/>
      <c r="F18" s="117"/>
      <c r="G18" s="117"/>
      <c r="H18" s="117"/>
      <c r="I18" s="117"/>
      <c r="J18" s="117"/>
      <c r="K18" s="117"/>
      <c r="L18" s="117"/>
      <c r="M18" s="124"/>
      <c r="N18" s="117"/>
      <c r="O18" s="117"/>
      <c r="P18" s="117"/>
      <c r="Q18" s="117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17"/>
      <c r="F19" s="117"/>
      <c r="G19" s="117"/>
      <c r="H19" s="117"/>
      <c r="I19" s="117"/>
      <c r="J19" s="117"/>
      <c r="K19" s="117"/>
      <c r="L19" s="117"/>
      <c r="M19" s="124"/>
      <c r="N19" s="117"/>
      <c r="O19" s="117"/>
      <c r="P19" s="117"/>
      <c r="Q19" s="117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17"/>
      <c r="F20" s="117"/>
      <c r="G20" s="117"/>
      <c r="H20" s="117"/>
      <c r="I20" s="117"/>
      <c r="J20" s="117"/>
      <c r="K20" s="117"/>
      <c r="L20" s="117"/>
      <c r="M20" s="124"/>
      <c r="N20" s="117"/>
      <c r="O20" s="117"/>
      <c r="P20" s="117"/>
      <c r="Q20" s="117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17"/>
      <c r="F21" s="117"/>
      <c r="G21" s="117"/>
      <c r="H21" s="117"/>
      <c r="I21" s="117"/>
      <c r="J21" s="117"/>
      <c r="K21" s="117"/>
      <c r="L21" s="117"/>
      <c r="M21" s="124"/>
      <c r="N21" s="117"/>
      <c r="O21" s="117"/>
      <c r="P21" s="117"/>
      <c r="Q21" s="117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17"/>
      <c r="F22" s="117"/>
      <c r="G22" s="117"/>
      <c r="H22" s="117"/>
      <c r="I22" s="117"/>
      <c r="J22" s="117"/>
      <c r="K22" s="117"/>
      <c r="L22" s="117"/>
      <c r="M22" s="124"/>
      <c r="N22" s="117"/>
      <c r="O22" s="117"/>
      <c r="P22" s="117"/>
      <c r="Q22" s="117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17"/>
      <c r="F23" s="117"/>
      <c r="G23" s="117"/>
      <c r="H23" s="117"/>
      <c r="I23" s="117"/>
      <c r="J23" s="117"/>
      <c r="K23" s="117"/>
      <c r="L23" s="117"/>
      <c r="M23" s="124"/>
      <c r="N23" s="117"/>
      <c r="O23" s="117"/>
      <c r="P23" s="117"/>
      <c r="Q23" s="117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17"/>
      <c r="F24" s="117"/>
      <c r="G24" s="117"/>
      <c r="H24" s="117"/>
      <c r="I24" s="117"/>
      <c r="J24" s="117"/>
      <c r="K24" s="117"/>
      <c r="L24" s="117"/>
      <c r="M24" s="124"/>
      <c r="N24" s="117"/>
      <c r="O24" s="117"/>
      <c r="P24" s="117"/>
      <c r="Q24" s="117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5" r:id="rId1"/>
    <hyperlink ref="A14" r:id="rId2"/>
    <hyperlink ref="A13" r:id="rId3"/>
    <hyperlink ref="A12" r:id="rId4"/>
    <hyperlink ref="A11" r:id="rId5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0.5" style="1" customWidth="1"/>
    <col min="4" max="4" width="15.25" style="1" customWidth="1"/>
    <col min="5" max="5" width="11.25" style="1" customWidth="1"/>
    <col min="6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งปม.'!D65</f>
        <v>81141</v>
      </c>
      <c r="F5" s="10">
        <f>'จัดสรร งปม.'!E65</f>
        <v>0</v>
      </c>
      <c r="G5" s="10">
        <f>'จัดสรร งปม.'!F65</f>
        <v>0</v>
      </c>
      <c r="H5" s="10">
        <f>'จัดสรร งปม.'!G65</f>
        <v>0</v>
      </c>
      <c r="I5" s="10">
        <f>'จัดสรร งปม.'!H65</f>
        <v>0</v>
      </c>
      <c r="J5" s="10">
        <f>'จัดสรร งปม.'!I65</f>
        <v>0</v>
      </c>
      <c r="K5" s="10">
        <f>'จัดสรร งปม.'!J65</f>
        <v>0</v>
      </c>
      <c r="L5" s="10">
        <f>'จัดสรร งปม.'!K65</f>
        <v>0</v>
      </c>
      <c r="M5" s="10"/>
      <c r="N5" s="10">
        <f>'จัดสรร งปม.'!L65</f>
        <v>0</v>
      </c>
      <c r="O5" s="10"/>
      <c r="P5" s="31">
        <f>'จัดสรร งปม.'!O65</f>
        <v>977.11</v>
      </c>
      <c r="Q5" s="10">
        <f>'จัดสรร งปม.'!P65</f>
        <v>0</v>
      </c>
      <c r="R5" s="10">
        <f>'จัดสรร งปม.'!Q65</f>
        <v>0</v>
      </c>
      <c r="S5" s="10">
        <f>'จัดสรร งปม.'!R65</f>
        <v>82118.11</v>
      </c>
    </row>
    <row r="6" spans="1:19" x14ac:dyDescent="0.3">
      <c r="D6" s="49" t="s">
        <v>94</v>
      </c>
      <c r="E6" s="10">
        <f>SUM(E11:E45)</f>
        <v>81141.05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31">
        <f t="shared" si="0"/>
        <v>977.11</v>
      </c>
      <c r="Q6" s="10">
        <f t="shared" si="0"/>
        <v>0</v>
      </c>
      <c r="R6" s="10">
        <f t="shared" si="0"/>
        <v>0</v>
      </c>
      <c r="S6" s="10">
        <f t="shared" si="0"/>
        <v>82118.159999999989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-5.0000000002910383E-2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31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-4.9999999988358468E-2</v>
      </c>
    </row>
    <row r="8" spans="1:19" x14ac:dyDescent="0.3">
      <c r="B8" s="49" t="s">
        <v>99</v>
      </c>
      <c r="C8" s="79">
        <f>'จัดสรร งปม.'!$B$65</f>
        <v>502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งปม.'!$C$65</f>
        <v>ค่าประปา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4" t="s">
        <v>279</v>
      </c>
      <c r="C11" s="105" t="s">
        <v>310</v>
      </c>
      <c r="D11" s="105" t="s">
        <v>260</v>
      </c>
      <c r="E11" s="10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6">
        <v>150.22</v>
      </c>
      <c r="Q11" s="10"/>
      <c r="R11" s="10"/>
      <c r="S11" s="10">
        <f>SUM(E11:R11)</f>
        <v>150.22</v>
      </c>
    </row>
    <row r="12" spans="1:19" ht="21" x14ac:dyDescent="0.35">
      <c r="A12" s="88" t="s">
        <v>106</v>
      </c>
      <c r="B12" s="104" t="s">
        <v>279</v>
      </c>
      <c r="C12" s="105" t="s">
        <v>310</v>
      </c>
      <c r="D12" s="105" t="s">
        <v>260</v>
      </c>
      <c r="E12" s="101">
        <v>16020.58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6"/>
      <c r="Q12" s="10"/>
      <c r="R12" s="10"/>
      <c r="S12" s="10">
        <f t="shared" ref="S12:S45" si="2">SUM(E12:R12)</f>
        <v>16020.58</v>
      </c>
    </row>
    <row r="13" spans="1:19" ht="21" x14ac:dyDescent="0.35">
      <c r="A13" s="88" t="s">
        <v>107</v>
      </c>
      <c r="B13" s="104" t="s">
        <v>279</v>
      </c>
      <c r="C13" s="105" t="s">
        <v>307</v>
      </c>
      <c r="D13" s="105" t="s">
        <v>260</v>
      </c>
      <c r="E13" s="101">
        <v>19581.27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6"/>
      <c r="Q13" s="10"/>
      <c r="R13" s="10"/>
      <c r="S13" s="10">
        <f t="shared" si="2"/>
        <v>19581.27</v>
      </c>
    </row>
    <row r="14" spans="1:19" ht="21" x14ac:dyDescent="0.35">
      <c r="A14" s="88" t="s">
        <v>108</v>
      </c>
      <c r="B14" s="104" t="s">
        <v>291</v>
      </c>
      <c r="C14" s="105" t="s">
        <v>310</v>
      </c>
      <c r="D14" s="105" t="s">
        <v>260</v>
      </c>
      <c r="E14" s="10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6">
        <v>64.2</v>
      </c>
      <c r="Q14" s="10"/>
      <c r="R14" s="10"/>
      <c r="S14" s="10">
        <f t="shared" si="2"/>
        <v>64.2</v>
      </c>
    </row>
    <row r="15" spans="1:19" ht="21" x14ac:dyDescent="0.35">
      <c r="A15" s="88" t="s">
        <v>109</v>
      </c>
      <c r="B15" s="104" t="s">
        <v>262</v>
      </c>
      <c r="C15" s="105" t="s">
        <v>310</v>
      </c>
      <c r="D15" s="105" t="s">
        <v>260</v>
      </c>
      <c r="E15" s="106">
        <v>22676.51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6"/>
      <c r="Q15" s="10"/>
      <c r="R15" s="10"/>
      <c r="S15" s="10">
        <f t="shared" si="2"/>
        <v>22676.51</v>
      </c>
    </row>
    <row r="16" spans="1:19" ht="21" x14ac:dyDescent="0.35">
      <c r="A16" s="88" t="s">
        <v>110</v>
      </c>
      <c r="B16" s="104" t="s">
        <v>288</v>
      </c>
      <c r="C16" s="105" t="s">
        <v>310</v>
      </c>
      <c r="D16" s="105" t="s">
        <v>260</v>
      </c>
      <c r="E16" s="106">
        <v>22862.69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6"/>
      <c r="Q16" s="10"/>
      <c r="R16" s="10"/>
      <c r="S16" s="10">
        <f t="shared" si="2"/>
        <v>22862.69</v>
      </c>
    </row>
    <row r="17" spans="1:19" ht="21" x14ac:dyDescent="0.35">
      <c r="A17" s="88" t="s">
        <v>111</v>
      </c>
      <c r="B17" s="104" t="s">
        <v>288</v>
      </c>
      <c r="C17" s="105" t="s">
        <v>305</v>
      </c>
      <c r="D17" s="105" t="s">
        <v>260</v>
      </c>
      <c r="E17" s="10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6">
        <v>398.04</v>
      </c>
      <c r="Q17" s="10"/>
      <c r="R17" s="10"/>
      <c r="S17" s="10">
        <f t="shared" si="2"/>
        <v>398.04</v>
      </c>
    </row>
    <row r="18" spans="1:19" x14ac:dyDescent="0.3">
      <c r="A18" s="88" t="s">
        <v>112</v>
      </c>
      <c r="B18" s="85" t="s">
        <v>387</v>
      </c>
      <c r="C18" s="86" t="s">
        <v>305</v>
      </c>
      <c r="D18" s="86" t="s">
        <v>260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31">
        <v>364.65</v>
      </c>
      <c r="Q18" s="10"/>
      <c r="R18" s="10"/>
      <c r="S18" s="10">
        <f t="shared" si="2"/>
        <v>364.65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5"/>
      <c r="C26" s="86"/>
      <c r="D26" s="8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5"/>
      <c r="C27" s="86"/>
      <c r="D27" s="8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5"/>
      <c r="C28" s="86"/>
      <c r="D28" s="8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0.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31">
        <f>'จัดสรร งปม.'!D66</f>
        <v>5325.7699999999995</v>
      </c>
      <c r="F5" s="10">
        <f>'จัดสรร งปม.'!E66</f>
        <v>0</v>
      </c>
      <c r="G5" s="10">
        <f>'จัดสรร งปม.'!F66</f>
        <v>0</v>
      </c>
      <c r="H5" s="10">
        <f>'จัดสรร งปม.'!G66</f>
        <v>0</v>
      </c>
      <c r="I5" s="10">
        <f>'จัดสรร งปม.'!H66</f>
        <v>0</v>
      </c>
      <c r="J5" s="10">
        <f>'จัดสรร งปม.'!I66</f>
        <v>0</v>
      </c>
      <c r="K5" s="10">
        <f>'จัดสรร งปม.'!J66</f>
        <v>0</v>
      </c>
      <c r="L5" s="10">
        <f>'จัดสรร งปม.'!K66</f>
        <v>0</v>
      </c>
      <c r="M5" s="10"/>
      <c r="N5" s="10">
        <f>'จัดสรร งปม.'!L66</f>
        <v>0</v>
      </c>
      <c r="O5" s="10"/>
      <c r="P5" s="10">
        <f>'จัดสรร งปม.'!N66</f>
        <v>0</v>
      </c>
      <c r="Q5" s="9">
        <f>'จัดสรร งปม.'!P66</f>
        <v>1379.98</v>
      </c>
      <c r="R5" s="10">
        <f>'จัดสรร งปม.'!Q66</f>
        <v>0</v>
      </c>
      <c r="S5" s="10">
        <f>'จัดสรร งปม.'!R66</f>
        <v>6705.75</v>
      </c>
    </row>
    <row r="6" spans="1:19" x14ac:dyDescent="0.3">
      <c r="D6" s="49" t="s">
        <v>94</v>
      </c>
      <c r="E6" s="31">
        <f>SUM(E11:E45)</f>
        <v>5325.77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9">
        <f t="shared" si="0"/>
        <v>1379.98</v>
      </c>
      <c r="R6" s="10">
        <f t="shared" si="0"/>
        <v>0</v>
      </c>
      <c r="S6" s="10">
        <f t="shared" si="0"/>
        <v>6705.75</v>
      </c>
    </row>
    <row r="7" spans="1:19" x14ac:dyDescent="0.3">
      <c r="B7" s="169" t="s">
        <v>156</v>
      </c>
      <c r="C7" s="169"/>
      <c r="D7" s="49" t="s">
        <v>96</v>
      </c>
      <c r="E7" s="31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9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งปม.'!$B$66</f>
        <v>503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งปม.'!$C$66</f>
        <v>ค่าโทรศัพท์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84" t="s">
        <v>105</v>
      </c>
      <c r="B11" s="103" t="s">
        <v>279</v>
      </c>
      <c r="C11" s="98" t="s">
        <v>350</v>
      </c>
      <c r="D11" s="99" t="s">
        <v>260</v>
      </c>
      <c r="E11" s="106"/>
      <c r="F11" s="10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31">
        <v>1379.98</v>
      </c>
      <c r="R11" s="10"/>
      <c r="S11" s="10">
        <f>SUM(E11:R11)</f>
        <v>1379.98</v>
      </c>
    </row>
    <row r="12" spans="1:19" ht="21" x14ac:dyDescent="0.35">
      <c r="A12" s="88" t="s">
        <v>106</v>
      </c>
      <c r="B12" s="103" t="s">
        <v>286</v>
      </c>
      <c r="C12" s="98" t="s">
        <v>350</v>
      </c>
      <c r="D12" s="99" t="s">
        <v>260</v>
      </c>
      <c r="E12" s="101">
        <v>1272.23</v>
      </c>
      <c r="F12" s="10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1272.23</v>
      </c>
    </row>
    <row r="13" spans="1:19" ht="21" x14ac:dyDescent="0.35">
      <c r="A13" s="88" t="s">
        <v>107</v>
      </c>
      <c r="B13" s="103" t="s">
        <v>306</v>
      </c>
      <c r="C13" s="98" t="s">
        <v>305</v>
      </c>
      <c r="D13" s="99" t="s">
        <v>260</v>
      </c>
      <c r="E13" s="106">
        <v>1396.24</v>
      </c>
      <c r="F13" s="107" t="s">
        <v>285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1396.24</v>
      </c>
    </row>
    <row r="14" spans="1:19" ht="21" x14ac:dyDescent="0.35">
      <c r="A14" s="88" t="s">
        <v>108</v>
      </c>
      <c r="B14" s="103" t="s">
        <v>337</v>
      </c>
      <c r="C14" s="98" t="s">
        <v>305</v>
      </c>
      <c r="D14" s="99" t="s">
        <v>260</v>
      </c>
      <c r="E14" s="106">
        <v>1273.25</v>
      </c>
      <c r="F14" s="10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1273.25</v>
      </c>
    </row>
    <row r="15" spans="1:19" x14ac:dyDescent="0.3">
      <c r="A15" s="88" t="s">
        <v>109</v>
      </c>
      <c r="B15" s="85" t="s">
        <v>366</v>
      </c>
      <c r="C15" s="86" t="s">
        <v>305</v>
      </c>
      <c r="D15" s="86" t="s">
        <v>260</v>
      </c>
      <c r="E15" s="10">
        <v>1384.05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1384.05</v>
      </c>
    </row>
    <row r="16" spans="1:19" ht="21.75" x14ac:dyDescent="0.5">
      <c r="A16" s="42" t="s">
        <v>110</v>
      </c>
      <c r="B16" s="85"/>
      <c r="C16" s="86"/>
      <c r="D16" s="8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5"/>
      <c r="C26" s="86"/>
      <c r="D26" s="8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5" r:id="rId1"/>
    <hyperlink ref="A14" r:id="rId2"/>
    <hyperlink ref="A13" r:id="rId3"/>
    <hyperlink ref="A12" r:id="rId4"/>
    <hyperlink ref="A11" r:id="rId5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6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งปม.'!D67</f>
        <v>6712</v>
      </c>
      <c r="F5" s="10">
        <f>'จัดสรร งปม.'!E67</f>
        <v>0</v>
      </c>
      <c r="G5" s="10">
        <f>'จัดสรร งปม.'!F67</f>
        <v>0</v>
      </c>
      <c r="H5" s="10">
        <f>'จัดสรร งปม.'!G67</f>
        <v>0</v>
      </c>
      <c r="I5" s="10">
        <f>'จัดสรร งปม.'!H67</f>
        <v>0</v>
      </c>
      <c r="J5" s="10">
        <f>'จัดสรร งปม.'!I67</f>
        <v>0</v>
      </c>
      <c r="K5" s="10">
        <f>'จัดสรร งปม.'!J67</f>
        <v>0</v>
      </c>
      <c r="L5" s="10">
        <f>'จัดสรร งปม.'!K67</f>
        <v>0</v>
      </c>
      <c r="M5" s="10"/>
      <c r="N5" s="10">
        <f>'จัดสรร งปม.'!L67</f>
        <v>0</v>
      </c>
      <c r="O5" s="10"/>
      <c r="P5" s="10">
        <f>'จัดสรร งปม.'!N67</f>
        <v>0</v>
      </c>
      <c r="Q5" s="10">
        <f>'จัดสรร งปม.'!P67</f>
        <v>1007</v>
      </c>
      <c r="R5" s="10">
        <f>'จัดสรร งปม.'!Q67</f>
        <v>0</v>
      </c>
      <c r="S5" s="10">
        <f>'จัดสรร งปม.'!R67</f>
        <v>7719</v>
      </c>
    </row>
    <row r="6" spans="1:19" x14ac:dyDescent="0.3">
      <c r="D6" s="49" t="s">
        <v>94</v>
      </c>
      <c r="E6" s="10">
        <f>SUM(E11:E45)</f>
        <v>6712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1007</v>
      </c>
      <c r="R6" s="10">
        <f t="shared" si="0"/>
        <v>0</v>
      </c>
      <c r="S6" s="10">
        <f t="shared" si="0"/>
        <v>7719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งปม.'!$B$67</f>
        <v>504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งปม.'!$C$67</f>
        <v>ค่าไปรษณีย์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5" t="s">
        <v>279</v>
      </c>
      <c r="C11" s="86" t="s">
        <v>307</v>
      </c>
      <c r="D11" s="86" t="s">
        <v>260</v>
      </c>
      <c r="E11" s="8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1007</v>
      </c>
      <c r="R11" s="10"/>
      <c r="S11" s="10">
        <f>SUM(E11:R11)</f>
        <v>1007</v>
      </c>
    </row>
    <row r="12" spans="1:19" x14ac:dyDescent="0.3">
      <c r="A12" s="88" t="s">
        <v>106</v>
      </c>
      <c r="B12" s="85" t="s">
        <v>279</v>
      </c>
      <c r="C12" s="86" t="s">
        <v>308</v>
      </c>
      <c r="D12" s="86" t="s">
        <v>260</v>
      </c>
      <c r="E12" s="89">
        <v>1272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1272</v>
      </c>
    </row>
    <row r="13" spans="1:19" x14ac:dyDescent="0.3">
      <c r="A13" s="88" t="s">
        <v>107</v>
      </c>
      <c r="B13" s="85" t="s">
        <v>245</v>
      </c>
      <c r="C13" s="86" t="s">
        <v>308</v>
      </c>
      <c r="D13" s="86" t="s">
        <v>260</v>
      </c>
      <c r="E13" s="89">
        <v>2593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2593</v>
      </c>
    </row>
    <row r="14" spans="1:19" x14ac:dyDescent="0.3">
      <c r="A14" s="88" t="s">
        <v>108</v>
      </c>
      <c r="B14" s="85" t="s">
        <v>306</v>
      </c>
      <c r="C14" s="86" t="s">
        <v>305</v>
      </c>
      <c r="D14" s="86" t="s">
        <v>260</v>
      </c>
      <c r="E14" s="89">
        <v>1229</v>
      </c>
      <c r="F14" s="92" t="s">
        <v>309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1229</v>
      </c>
    </row>
    <row r="15" spans="1:19" x14ac:dyDescent="0.3">
      <c r="A15" s="88" t="s">
        <v>109</v>
      </c>
      <c r="B15" s="85" t="s">
        <v>289</v>
      </c>
      <c r="C15" s="86" t="s">
        <v>305</v>
      </c>
      <c r="D15" s="86" t="s">
        <v>260</v>
      </c>
      <c r="E15" s="89">
        <v>1618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1618</v>
      </c>
    </row>
    <row r="16" spans="1:19" ht="21.75" x14ac:dyDescent="0.5">
      <c r="A16" s="42" t="s">
        <v>110</v>
      </c>
      <c r="B16" s="85"/>
      <c r="C16" s="86"/>
      <c r="D16" s="86"/>
      <c r="E16" s="8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8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8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8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8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8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8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8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งปม.'!D68</f>
        <v>21828</v>
      </c>
      <c r="F5" s="10">
        <f>'จัดสรร งปม.'!E68</f>
        <v>0</v>
      </c>
      <c r="G5" s="10">
        <f>'จัดสรร งปม.'!F68</f>
        <v>0</v>
      </c>
      <c r="H5" s="10">
        <f>'จัดสรร งปม.'!G68</f>
        <v>0</v>
      </c>
      <c r="I5" s="10">
        <f>'จัดสรร งปม.'!H68</f>
        <v>0</v>
      </c>
      <c r="J5" s="10">
        <f>'จัดสรร งปม.'!I68</f>
        <v>0</v>
      </c>
      <c r="K5" s="10">
        <f>'จัดสรร งปม.'!J68</f>
        <v>0</v>
      </c>
      <c r="L5" s="10">
        <f>'จัดสรร งปม.'!K68</f>
        <v>0</v>
      </c>
      <c r="M5" s="10"/>
      <c r="N5" s="10">
        <f>'จัดสรร งปม.'!L68</f>
        <v>0</v>
      </c>
      <c r="O5" s="10"/>
      <c r="P5" s="10">
        <f>'จัดสรร งปม.'!N68</f>
        <v>0</v>
      </c>
      <c r="Q5" s="10">
        <f>'จัดสรร งปม.'!P68</f>
        <v>0</v>
      </c>
      <c r="R5" s="10">
        <f>'จัดสรร งปม.'!Q68</f>
        <v>0</v>
      </c>
      <c r="S5" s="10">
        <f>'จัดสรร งปม.'!R68</f>
        <v>21828</v>
      </c>
    </row>
    <row r="6" spans="1:19" x14ac:dyDescent="0.3">
      <c r="D6" s="49" t="s">
        <v>94</v>
      </c>
      <c r="E6" s="10">
        <f>SUM(E11:E45)</f>
        <v>21828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21828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งปม.'!$B$68</f>
        <v>505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งปม.'!$C$68</f>
        <v>ค่าอินเตอร์เนต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42" t="s">
        <v>279</v>
      </c>
      <c r="C11" s="90" t="s">
        <v>304</v>
      </c>
      <c r="D11" s="90" t="s">
        <v>260</v>
      </c>
      <c r="E11" s="91">
        <v>5457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5457</v>
      </c>
    </row>
    <row r="12" spans="1:19" x14ac:dyDescent="0.3">
      <c r="A12" s="88" t="s">
        <v>106</v>
      </c>
      <c r="B12" s="42" t="s">
        <v>262</v>
      </c>
      <c r="C12" s="90" t="s">
        <v>304</v>
      </c>
      <c r="D12" s="90" t="s">
        <v>260</v>
      </c>
      <c r="E12" s="91">
        <v>5457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5457</v>
      </c>
    </row>
    <row r="13" spans="1:19" x14ac:dyDescent="0.3">
      <c r="A13" s="88" t="s">
        <v>107</v>
      </c>
      <c r="B13" s="42" t="s">
        <v>288</v>
      </c>
      <c r="C13" s="90" t="s">
        <v>304</v>
      </c>
      <c r="D13" s="90" t="s">
        <v>260</v>
      </c>
      <c r="E13" s="91">
        <v>5457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5457</v>
      </c>
    </row>
    <row r="14" spans="1:19" x14ac:dyDescent="0.3">
      <c r="A14" s="88" t="s">
        <v>108</v>
      </c>
      <c r="B14" s="42" t="s">
        <v>289</v>
      </c>
      <c r="C14" s="90" t="s">
        <v>305</v>
      </c>
      <c r="D14" s="90" t="s">
        <v>260</v>
      </c>
      <c r="E14" s="91">
        <v>5457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5457</v>
      </c>
    </row>
    <row r="15" spans="1:19" ht="21.75" x14ac:dyDescent="0.5">
      <c r="A15" s="42" t="s">
        <v>109</v>
      </c>
      <c r="B15" s="42"/>
      <c r="C15" s="90"/>
      <c r="D15" s="90"/>
      <c r="E15" s="9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42"/>
      <c r="C16" s="90"/>
      <c r="D16" s="90"/>
      <c r="E16" s="9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90"/>
      <c r="D17" s="90"/>
      <c r="E17" s="9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90"/>
      <c r="D18" s="90"/>
      <c r="E18" s="9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90"/>
      <c r="D19" s="90"/>
      <c r="E19" s="9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90"/>
      <c r="D20" s="90"/>
      <c r="E20" s="9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90"/>
      <c r="D21" s="90"/>
      <c r="E21" s="9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งปม.'!D69</f>
        <v>0</v>
      </c>
      <c r="F5" s="10">
        <f>'จัดสรร งปม.'!E69</f>
        <v>0</v>
      </c>
      <c r="G5" s="10">
        <f>'จัดสรร งปม.'!F69</f>
        <v>0</v>
      </c>
      <c r="H5" s="10">
        <f>'จัดสรร งปม.'!G69</f>
        <v>0</v>
      </c>
      <c r="I5" s="10">
        <f>'จัดสรร งปม.'!H69</f>
        <v>0</v>
      </c>
      <c r="J5" s="10">
        <f>'จัดสรร งปม.'!I69</f>
        <v>0</v>
      </c>
      <c r="K5" s="10">
        <f>'จัดสรร งปม.'!J69</f>
        <v>0</v>
      </c>
      <c r="L5" s="10">
        <f>'จัดสรร งปม.'!K69</f>
        <v>0</v>
      </c>
      <c r="M5" s="10"/>
      <c r="N5" s="10">
        <f>'จัดสรร งปม.'!L69</f>
        <v>0</v>
      </c>
      <c r="O5" s="10"/>
      <c r="P5" s="10">
        <f>'จัดสรร งปม.'!N69</f>
        <v>0</v>
      </c>
      <c r="Q5" s="10">
        <f>'จัดสรร งปม.'!P69</f>
        <v>0</v>
      </c>
      <c r="R5" s="10">
        <f>'จัดสรร งปม.'!Q69</f>
        <v>0</v>
      </c>
      <c r="S5" s="10">
        <f>'จัดสรร งปม.'!R69</f>
        <v>0</v>
      </c>
    </row>
    <row r="6" spans="1:19" x14ac:dyDescent="0.3">
      <c r="D6" s="49" t="s">
        <v>94</v>
      </c>
      <c r="E6" s="10">
        <f>SUM(E11:E45)</f>
        <v>60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60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-60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-60</v>
      </c>
    </row>
    <row r="8" spans="1:19" x14ac:dyDescent="0.3">
      <c r="B8" s="49" t="s">
        <v>99</v>
      </c>
      <c r="C8" s="79">
        <f>'จัดสรร งปม.'!$B$69</f>
        <v>506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งปม.'!$C$69</f>
        <v>สำรอง 1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60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60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งปม.'!D70</f>
        <v>0</v>
      </c>
      <c r="F5" s="10">
        <f>'จัดสรร งปม.'!E70</f>
        <v>0</v>
      </c>
      <c r="G5" s="10">
        <f>'จัดสรร งปม.'!F70</f>
        <v>0</v>
      </c>
      <c r="H5" s="10">
        <f>'จัดสรร งปม.'!G70</f>
        <v>0</v>
      </c>
      <c r="I5" s="10">
        <f>'จัดสรร งปม.'!H70</f>
        <v>0</v>
      </c>
      <c r="J5" s="10">
        <f>'จัดสรร งปม.'!I70</f>
        <v>0</v>
      </c>
      <c r="K5" s="10">
        <f>'จัดสรร งปม.'!J70</f>
        <v>0</v>
      </c>
      <c r="L5" s="10">
        <f>'จัดสรร งปม.'!K70</f>
        <v>0</v>
      </c>
      <c r="M5" s="10"/>
      <c r="N5" s="10">
        <f>'จัดสรร งปม.'!L70</f>
        <v>0</v>
      </c>
      <c r="O5" s="10"/>
      <c r="P5" s="10">
        <f>'จัดสรร งปม.'!N70</f>
        <v>0</v>
      </c>
      <c r="Q5" s="10">
        <f>'จัดสรร งปม.'!P70</f>
        <v>0</v>
      </c>
      <c r="R5" s="10">
        <f>'จัดสรร งปม.'!Q70</f>
        <v>0</v>
      </c>
      <c r="S5" s="10">
        <f>'จัดสรร งปม.'!R70</f>
        <v>0</v>
      </c>
    </row>
    <row r="6" spans="1:19" x14ac:dyDescent="0.3">
      <c r="D6" s="49" t="s">
        <v>94</v>
      </c>
      <c r="E6" s="10">
        <f>SUM(E11:E45)</f>
        <v>70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70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-70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-70</v>
      </c>
    </row>
    <row r="8" spans="1:19" x14ac:dyDescent="0.3">
      <c r="B8" s="49" t="s">
        <v>99</v>
      </c>
      <c r="C8" s="79">
        <f>'จัดสรร งปม.'!$B$70</f>
        <v>507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งปม.'!$C$70</f>
        <v>สำรอง 2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70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70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งปม.'!D71</f>
        <v>0</v>
      </c>
      <c r="F5" s="10">
        <f>'จัดสรร งปม.'!E71</f>
        <v>0</v>
      </c>
      <c r="G5" s="10">
        <f>'จัดสรร งปม.'!F71</f>
        <v>0</v>
      </c>
      <c r="H5" s="10">
        <f>'จัดสรร งปม.'!G71</f>
        <v>0</v>
      </c>
      <c r="I5" s="10">
        <f>'จัดสรร งปม.'!H71</f>
        <v>0</v>
      </c>
      <c r="J5" s="10">
        <f>'จัดสรร งปม.'!I71</f>
        <v>0</v>
      </c>
      <c r="K5" s="10">
        <f>'จัดสรร งปม.'!J71</f>
        <v>0</v>
      </c>
      <c r="L5" s="10">
        <f>'จัดสรร งปม.'!K71</f>
        <v>0</v>
      </c>
      <c r="M5" s="10"/>
      <c r="N5" s="10">
        <f>'จัดสรร งปม.'!L71</f>
        <v>0</v>
      </c>
      <c r="O5" s="10"/>
      <c r="P5" s="10">
        <f>'จัดสรร งปม.'!N71</f>
        <v>0</v>
      </c>
      <c r="Q5" s="10">
        <f>'จัดสรร งปม.'!P71</f>
        <v>0</v>
      </c>
      <c r="R5" s="10">
        <f>'จัดสรร งปม.'!Q71</f>
        <v>0</v>
      </c>
      <c r="S5" s="10">
        <f>'จัดสรร งปม.'!R71</f>
        <v>0</v>
      </c>
    </row>
    <row r="6" spans="1:19" x14ac:dyDescent="0.3">
      <c r="D6" s="49" t="s">
        <v>94</v>
      </c>
      <c r="E6" s="10">
        <f>SUM(E11:E45)</f>
        <v>80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80</v>
      </c>
    </row>
    <row r="7" spans="1:19" x14ac:dyDescent="0.3">
      <c r="B7" s="169" t="s">
        <v>156</v>
      </c>
      <c r="C7" s="169"/>
      <c r="D7" s="49" t="s">
        <v>96</v>
      </c>
      <c r="E7" s="10">
        <f>E5-E6</f>
        <v>-80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-80</v>
      </c>
    </row>
    <row r="8" spans="1:19" x14ac:dyDescent="0.3">
      <c r="B8" s="49" t="s">
        <v>99</v>
      </c>
      <c r="C8" s="79">
        <f>'จัดสรร งปม.'!$B$71</f>
        <v>508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งปม.'!$C$71</f>
        <v>สำรอง 3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80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80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A1:B1"/>
    <mergeCell ref="E3:G3"/>
    <mergeCell ref="H3:N3"/>
    <mergeCell ref="Q3:R3"/>
    <mergeCell ref="S3:S4"/>
    <mergeCell ref="C9:G9"/>
    <mergeCell ref="H9:N9"/>
    <mergeCell ref="Q9:R9"/>
    <mergeCell ref="B7:C7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งปม.'!D73</f>
        <v>0</v>
      </c>
      <c r="F5" s="10">
        <f>'จัดสรร งปม.'!E73</f>
        <v>0</v>
      </c>
      <c r="G5" s="10">
        <f>'จัดสรร งปม.'!F73</f>
        <v>0</v>
      </c>
      <c r="H5" s="10">
        <f>'จัดสรร งปม.'!G73</f>
        <v>0</v>
      </c>
      <c r="I5" s="10">
        <f>'จัดสรร งปม.'!H73</f>
        <v>0</v>
      </c>
      <c r="J5" s="10">
        <f>'จัดสรร งปม.'!I73</f>
        <v>0</v>
      </c>
      <c r="K5" s="10">
        <f>'จัดสรร งปม.'!J73</f>
        <v>0</v>
      </c>
      <c r="L5" s="10">
        <f>'จัดสรร งปม.'!K73</f>
        <v>0</v>
      </c>
      <c r="M5" s="10"/>
      <c r="N5" s="10">
        <f>'จัดสรร งปม.'!L73</f>
        <v>0</v>
      </c>
      <c r="O5" s="10"/>
      <c r="P5" s="10">
        <f>'จัดสรร งปม.'!N73</f>
        <v>0</v>
      </c>
      <c r="Q5" s="10">
        <f>'จัดสรร งปม.'!P73</f>
        <v>0</v>
      </c>
      <c r="R5" s="10">
        <f>'จัดสรร งปม.'!Q73</f>
        <v>0</v>
      </c>
      <c r="S5" s="10">
        <f>'จัดสรร งปม.'!R73</f>
        <v>0</v>
      </c>
    </row>
    <row r="6" spans="1:19" x14ac:dyDescent="0.3">
      <c r="D6" s="49" t="s">
        <v>94</v>
      </c>
      <c r="E6" s="10">
        <f>SUM(E11:E45)</f>
        <v>10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-10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-10</v>
      </c>
    </row>
    <row r="8" spans="1:19" x14ac:dyDescent="0.3">
      <c r="B8" s="49" t="s">
        <v>99</v>
      </c>
      <c r="C8" s="79">
        <f>'จัดสรร งปม.'!$B$73</f>
        <v>601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งปม.'!$C$73</f>
        <v>โครงการด้านการพัฒนาผู้เรียน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งปม.'!D74</f>
        <v>0</v>
      </c>
      <c r="F5" s="10">
        <f>'จัดสรร งปม.'!E74</f>
        <v>0</v>
      </c>
      <c r="G5" s="10">
        <f>'จัดสรร งปม.'!F74</f>
        <v>0</v>
      </c>
      <c r="H5" s="10">
        <f>'จัดสรร งปม.'!G74</f>
        <v>0</v>
      </c>
      <c r="I5" s="10">
        <f>'จัดสรร งปม.'!H74</f>
        <v>0</v>
      </c>
      <c r="J5" s="10">
        <f>'จัดสรร งปม.'!I74</f>
        <v>0</v>
      </c>
      <c r="K5" s="10">
        <f>'จัดสรร งปม.'!J74</f>
        <v>0</v>
      </c>
      <c r="L5" s="10">
        <f>'จัดสรร งปม.'!K74</f>
        <v>0</v>
      </c>
      <c r="M5" s="10"/>
      <c r="N5" s="10">
        <f>'จัดสรร งปม.'!L74</f>
        <v>0</v>
      </c>
      <c r="O5" s="10"/>
      <c r="P5" s="10">
        <f>'จัดสรร งปม.'!N74</f>
        <v>0</v>
      </c>
      <c r="Q5" s="10">
        <f>'จัดสรร งปม.'!P74</f>
        <v>0</v>
      </c>
      <c r="R5" s="10">
        <f>'จัดสรร งปม.'!Q74</f>
        <v>0</v>
      </c>
      <c r="S5" s="10">
        <f>'จัดสรร งปม.'!R74</f>
        <v>0</v>
      </c>
    </row>
    <row r="6" spans="1:19" x14ac:dyDescent="0.3">
      <c r="D6" s="49" t="s">
        <v>94</v>
      </c>
      <c r="E6" s="10">
        <f>SUM(E11:E45)</f>
        <v>15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15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-15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-15</v>
      </c>
    </row>
    <row r="8" spans="1:19" x14ac:dyDescent="0.3">
      <c r="B8" s="49" t="s">
        <v>99</v>
      </c>
      <c r="C8" s="79">
        <f>'จัดสรร งปม.'!$B$74</f>
        <v>602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งปม.'!$C$74</f>
        <v>โครงการด้านการพัฒนาครูและบุคลากร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15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งปม.'!D75</f>
        <v>0</v>
      </c>
      <c r="F5" s="10">
        <f>'จัดสรร งปม.'!E75</f>
        <v>0</v>
      </c>
      <c r="G5" s="10">
        <f>'จัดสรร งปม.'!F75</f>
        <v>0</v>
      </c>
      <c r="H5" s="10">
        <f>'จัดสรร งปม.'!G75</f>
        <v>0</v>
      </c>
      <c r="I5" s="10">
        <f>'จัดสรร งปม.'!H75</f>
        <v>0</v>
      </c>
      <c r="J5" s="10">
        <f>'จัดสรร งปม.'!I75</f>
        <v>0</v>
      </c>
      <c r="K5" s="10">
        <f>'จัดสรร งปม.'!J75</f>
        <v>0</v>
      </c>
      <c r="L5" s="10">
        <f>'จัดสรร งปม.'!K75</f>
        <v>0</v>
      </c>
      <c r="M5" s="10"/>
      <c r="N5" s="10">
        <f>'จัดสรร งปม.'!L75</f>
        <v>0</v>
      </c>
      <c r="O5" s="10"/>
      <c r="P5" s="10">
        <f>'จัดสรร งปม.'!N75</f>
        <v>0</v>
      </c>
      <c r="Q5" s="10">
        <f>'จัดสรร งปม.'!P75</f>
        <v>0</v>
      </c>
      <c r="R5" s="10">
        <f>'จัดสรร งปม.'!Q75</f>
        <v>0</v>
      </c>
      <c r="S5" s="10">
        <f>'จัดสรร งปม.'!R75</f>
        <v>0</v>
      </c>
    </row>
    <row r="6" spans="1:19" x14ac:dyDescent="0.3">
      <c r="D6" s="49" t="s">
        <v>94</v>
      </c>
      <c r="E6" s="10">
        <f>SUM(E11:E45)</f>
        <v>20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-20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-20</v>
      </c>
    </row>
    <row r="8" spans="1:19" x14ac:dyDescent="0.3">
      <c r="B8" s="49" t="s">
        <v>99</v>
      </c>
      <c r="C8" s="79">
        <f>'จัดสรร งปม.'!$B$75</f>
        <v>603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งปม.'!$C$75</f>
        <v>โครงการด้านการพัฒนาคุณภาพสถานศึกษา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งปม.'!D76</f>
        <v>0</v>
      </c>
      <c r="F5" s="10">
        <f>'จัดสรร งปม.'!E76</f>
        <v>0</v>
      </c>
      <c r="G5" s="10">
        <f>'จัดสรร งปม.'!F76</f>
        <v>0</v>
      </c>
      <c r="H5" s="10">
        <f>'จัดสรร งปม.'!G76</f>
        <v>0</v>
      </c>
      <c r="I5" s="10">
        <f>'จัดสรร งปม.'!H76</f>
        <v>0</v>
      </c>
      <c r="J5" s="10">
        <f>'จัดสรร งปม.'!I76</f>
        <v>0</v>
      </c>
      <c r="K5" s="10">
        <f>'จัดสรร งปม.'!J76</f>
        <v>0</v>
      </c>
      <c r="L5" s="10">
        <f>'จัดสรร งปม.'!K76</f>
        <v>0</v>
      </c>
      <c r="M5" s="10"/>
      <c r="N5" s="10">
        <f>'จัดสรร งปม.'!L76</f>
        <v>0</v>
      </c>
      <c r="O5" s="10"/>
      <c r="P5" s="10">
        <f>'จัดสรร งปม.'!N76</f>
        <v>0</v>
      </c>
      <c r="Q5" s="10">
        <f>'จัดสรร งปม.'!P76</f>
        <v>0</v>
      </c>
      <c r="R5" s="10">
        <f>'จัดสรร งปม.'!Q76</f>
        <v>0</v>
      </c>
      <c r="S5" s="10">
        <f>'จัดสรร งปม.'!R76</f>
        <v>0</v>
      </c>
    </row>
    <row r="6" spans="1:19" x14ac:dyDescent="0.3">
      <c r="D6" s="49" t="s">
        <v>94</v>
      </c>
      <c r="E6" s="10">
        <f>SUM(E11:E45)</f>
        <v>25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25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-25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-25</v>
      </c>
    </row>
    <row r="8" spans="1:19" x14ac:dyDescent="0.3">
      <c r="B8" s="49" t="s">
        <v>99</v>
      </c>
      <c r="C8" s="79">
        <f>'จัดสรร งปม.'!$B$76</f>
        <v>604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งปม.'!$C$76</f>
        <v>โครงการด้านการประกันคุณภาพภายใน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งปม.'!D77</f>
        <v>0</v>
      </c>
      <c r="F5" s="10">
        <f>'จัดสรร งปม.'!E77</f>
        <v>0</v>
      </c>
      <c r="G5" s="10">
        <f>'จัดสรร งปม.'!F77</f>
        <v>0</v>
      </c>
      <c r="H5" s="10">
        <f>'จัดสรร งปม.'!G77</f>
        <v>0</v>
      </c>
      <c r="I5" s="10">
        <f>'จัดสรร งปม.'!H77</f>
        <v>0</v>
      </c>
      <c r="J5" s="10">
        <f>'จัดสรร งปม.'!I77</f>
        <v>0</v>
      </c>
      <c r="K5" s="10">
        <f>'จัดสรร งปม.'!J77</f>
        <v>0</v>
      </c>
      <c r="L5" s="10">
        <f>'จัดสรร งปม.'!K77</f>
        <v>0</v>
      </c>
      <c r="M5" s="10"/>
      <c r="N5" s="10">
        <f>'จัดสรร งปม.'!L77</f>
        <v>0</v>
      </c>
      <c r="O5" s="10"/>
      <c r="P5" s="10">
        <f>'จัดสรร งปม.'!N77</f>
        <v>0</v>
      </c>
      <c r="Q5" s="10">
        <f>'จัดสรร งปม.'!P77</f>
        <v>0</v>
      </c>
      <c r="R5" s="10">
        <f>'จัดสรร งปม.'!Q77</f>
        <v>0</v>
      </c>
      <c r="S5" s="10">
        <f>'จัดสรร งปม.'!R77</f>
        <v>0</v>
      </c>
    </row>
    <row r="6" spans="1:19" x14ac:dyDescent="0.3">
      <c r="D6" s="49" t="s">
        <v>94</v>
      </c>
      <c r="E6" s="10">
        <f>SUM(E11:E45)</f>
        <v>30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-30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-30</v>
      </c>
    </row>
    <row r="8" spans="1:19" x14ac:dyDescent="0.3">
      <c r="B8" s="49" t="s">
        <v>99</v>
      </c>
      <c r="C8" s="79">
        <f>'จัดสรร งปม.'!$B$77</f>
        <v>605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งปม.'!$C$77</f>
        <v>โครงการยาและเวชภัณฑ์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30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งปม.'!D78</f>
        <v>0</v>
      </c>
      <c r="F5" s="10">
        <f>'จัดสรร งปม.'!E78</f>
        <v>0</v>
      </c>
      <c r="G5" s="10">
        <f>'จัดสรร งปม.'!F78</f>
        <v>0</v>
      </c>
      <c r="H5" s="10">
        <f>'จัดสรร งปม.'!G78</f>
        <v>0</v>
      </c>
      <c r="I5" s="10">
        <f>'จัดสรร งปม.'!H78</f>
        <v>0</v>
      </c>
      <c r="J5" s="10">
        <f>'จัดสรร งปม.'!I78</f>
        <v>0</v>
      </c>
      <c r="K5" s="10">
        <f>'จัดสรร งปม.'!J78</f>
        <v>0</v>
      </c>
      <c r="L5" s="10">
        <f>'จัดสรร งปม.'!K78</f>
        <v>0</v>
      </c>
      <c r="M5" s="10"/>
      <c r="N5" s="10">
        <f>'จัดสรร งปม.'!L78</f>
        <v>0</v>
      </c>
      <c r="O5" s="10"/>
      <c r="P5" s="10">
        <f>'จัดสรร งปม.'!N78</f>
        <v>0</v>
      </c>
      <c r="Q5" s="10">
        <f>'จัดสรร งปม.'!P78</f>
        <v>0</v>
      </c>
      <c r="R5" s="10">
        <f>'จัดสรร งปม.'!Q78</f>
        <v>0</v>
      </c>
      <c r="S5" s="10">
        <f>'จัดสรร งปม.'!R78</f>
        <v>0</v>
      </c>
    </row>
    <row r="6" spans="1:19" x14ac:dyDescent="0.3">
      <c r="D6" s="49" t="s">
        <v>94</v>
      </c>
      <c r="E6" s="10">
        <f>SUM(E11:E45)</f>
        <v>35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35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-35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-35</v>
      </c>
    </row>
    <row r="8" spans="1:19" x14ac:dyDescent="0.3">
      <c r="B8" s="49" t="s">
        <v>99</v>
      </c>
      <c r="C8" s="79">
        <f>'จัดสรร งปม.'!$B$78</f>
        <v>606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งปม.'!$C$78</f>
        <v>โครงการปฐมนิเทศ คู่มือ นักเรียนนักศึกษาใหมา ปวช. ปวส. ปี2565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35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งปม.'!D79</f>
        <v>0</v>
      </c>
      <c r="F5" s="10">
        <f>'จัดสรร งปม.'!E79</f>
        <v>0</v>
      </c>
      <c r="G5" s="10">
        <f>'จัดสรร งปม.'!F79</f>
        <v>0</v>
      </c>
      <c r="H5" s="10">
        <f>'จัดสรร งปม.'!G79</f>
        <v>0</v>
      </c>
      <c r="I5" s="10">
        <f>'จัดสรร งปม.'!H79</f>
        <v>0</v>
      </c>
      <c r="J5" s="10">
        <f>'จัดสรร งปม.'!I79</f>
        <v>0</v>
      </c>
      <c r="K5" s="10">
        <f>'จัดสรร งปม.'!J79</f>
        <v>0</v>
      </c>
      <c r="L5" s="10">
        <f>'จัดสรร งปม.'!K79</f>
        <v>0</v>
      </c>
      <c r="M5" s="10"/>
      <c r="N5" s="10">
        <f>'จัดสรร งปม.'!L79</f>
        <v>0</v>
      </c>
      <c r="O5" s="10"/>
      <c r="P5" s="10">
        <f>'จัดสรร งปม.'!N79</f>
        <v>0</v>
      </c>
      <c r="Q5" s="10">
        <f>'จัดสรร งปม.'!P79</f>
        <v>0</v>
      </c>
      <c r="R5" s="10">
        <f>'จัดสรร งปม.'!Q79</f>
        <v>0</v>
      </c>
      <c r="S5" s="10">
        <f>'จัดสรร งปม.'!R79</f>
        <v>0</v>
      </c>
    </row>
    <row r="6" spans="1:19" x14ac:dyDescent="0.3">
      <c r="D6" s="49" t="s">
        <v>94</v>
      </c>
      <c r="E6" s="10">
        <f>SUM(E11:E45)</f>
        <v>40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-40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-40</v>
      </c>
    </row>
    <row r="8" spans="1:19" x14ac:dyDescent="0.3">
      <c r="B8" s="49" t="s">
        <v>99</v>
      </c>
      <c r="C8" s="79">
        <f>'จัดสรร งปม.'!$B$79</f>
        <v>607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งปม.'!$C$79</f>
        <v>โครงการตรวจสุขภาพนักเรียนนักศึกษา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40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งปม.'!D80</f>
        <v>0</v>
      </c>
      <c r="F5" s="10">
        <f>'จัดสรร งปม.'!E80</f>
        <v>0</v>
      </c>
      <c r="G5" s="10">
        <f>'จัดสรร งปม.'!F80</f>
        <v>0</v>
      </c>
      <c r="H5" s="10">
        <f>'จัดสรร งปม.'!G80</f>
        <v>0</v>
      </c>
      <c r="I5" s="10">
        <f>'จัดสรร งปม.'!H80</f>
        <v>0</v>
      </c>
      <c r="J5" s="10">
        <f>'จัดสรร งปม.'!I80</f>
        <v>0</v>
      </c>
      <c r="K5" s="10">
        <f>'จัดสรร งปม.'!J80</f>
        <v>0</v>
      </c>
      <c r="L5" s="10">
        <f>'จัดสรร งปม.'!K80</f>
        <v>0</v>
      </c>
      <c r="M5" s="10"/>
      <c r="N5" s="10">
        <f>'จัดสรร งปม.'!L80</f>
        <v>0</v>
      </c>
      <c r="O5" s="10"/>
      <c r="P5" s="10">
        <f>'จัดสรร งปม.'!N80</f>
        <v>0</v>
      </c>
      <c r="Q5" s="10">
        <f>'จัดสรร งปม.'!P80</f>
        <v>0</v>
      </c>
      <c r="R5" s="10">
        <f>'จัดสรร งปม.'!Q80</f>
        <v>0</v>
      </c>
      <c r="S5" s="10">
        <f>'จัดสรร งปม.'!R80</f>
        <v>0</v>
      </c>
    </row>
    <row r="6" spans="1:19" x14ac:dyDescent="0.3">
      <c r="D6" s="49" t="s">
        <v>94</v>
      </c>
      <c r="E6" s="10">
        <f>SUM(E11:E45)</f>
        <v>45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45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-45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-45</v>
      </c>
    </row>
    <row r="8" spans="1:19" x14ac:dyDescent="0.3">
      <c r="B8" s="49" t="s">
        <v>99</v>
      </c>
      <c r="C8" s="79">
        <f>'จัดสรร งปม.'!$B$80</f>
        <v>608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งปม.'!$C$80</f>
        <v>โครงการประกันอุบัติเหตุ นักเรียน นักศึกษา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45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งปม.'!D81</f>
        <v>0</v>
      </c>
      <c r="F5" s="10">
        <f>'จัดสรร งปม.'!E81</f>
        <v>0</v>
      </c>
      <c r="G5" s="10">
        <f>'จัดสรร งปม.'!F81</f>
        <v>0</v>
      </c>
      <c r="H5" s="10">
        <f>'จัดสรร งปม.'!G81</f>
        <v>0</v>
      </c>
      <c r="I5" s="10">
        <f>'จัดสรร งปม.'!H81</f>
        <v>0</v>
      </c>
      <c r="J5" s="10">
        <f>'จัดสรร งปม.'!I81</f>
        <v>0</v>
      </c>
      <c r="K5" s="10">
        <f>'จัดสรร งปม.'!J81</f>
        <v>0</v>
      </c>
      <c r="L5" s="10">
        <f>'จัดสรร งปม.'!K81</f>
        <v>0</v>
      </c>
      <c r="M5" s="10"/>
      <c r="N5" s="10">
        <f>'จัดสรร งปม.'!L81</f>
        <v>0</v>
      </c>
      <c r="O5" s="10"/>
      <c r="P5" s="10">
        <f>'จัดสรร งปม.'!N81</f>
        <v>0</v>
      </c>
      <c r="Q5" s="10">
        <f>'จัดสรร งปม.'!P81</f>
        <v>0</v>
      </c>
      <c r="R5" s="10">
        <f>'จัดสรร งปม.'!Q81</f>
        <v>0</v>
      </c>
      <c r="S5" s="10">
        <f>'จัดสรร งปม.'!R81</f>
        <v>0</v>
      </c>
    </row>
    <row r="6" spans="1:19" x14ac:dyDescent="0.3">
      <c r="D6" s="49" t="s">
        <v>94</v>
      </c>
      <c r="E6" s="10">
        <f>SUM(E11:E45)</f>
        <v>50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-50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-50</v>
      </c>
    </row>
    <row r="8" spans="1:19" x14ac:dyDescent="0.3">
      <c r="B8" s="49" t="s">
        <v>99</v>
      </c>
      <c r="C8" s="79">
        <f>'จัดสรร งปม.'!$B$81</f>
        <v>609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งปม.'!$C$81</f>
        <v>โครงการจัดทำบัตรนักเรียน นักศึกษา ประจำปี 2565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7.3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งปม.'!D82</f>
        <v>0</v>
      </c>
      <c r="F5" s="10">
        <f>'จัดสรร งปม.'!E82</f>
        <v>0</v>
      </c>
      <c r="G5" s="10">
        <f>'จัดสรร งปม.'!F82</f>
        <v>0</v>
      </c>
      <c r="H5" s="10">
        <f>'จัดสรร งปม.'!G82</f>
        <v>0</v>
      </c>
      <c r="I5" s="10">
        <f>'จัดสรร งปม.'!H82</f>
        <v>0</v>
      </c>
      <c r="J5" s="10">
        <f>'จัดสรร งปม.'!I82</f>
        <v>0</v>
      </c>
      <c r="K5" s="10">
        <f>'จัดสรร งปม.'!J82</f>
        <v>0</v>
      </c>
      <c r="L5" s="10">
        <f>'จัดสรร งปม.'!K82</f>
        <v>0</v>
      </c>
      <c r="M5" s="10"/>
      <c r="N5" s="10">
        <f>'จัดสรร งปม.'!L82</f>
        <v>0</v>
      </c>
      <c r="O5" s="10"/>
      <c r="P5" s="10">
        <f>'จัดสรร งปม.'!N82</f>
        <v>0</v>
      </c>
      <c r="Q5" s="10">
        <f>'จัดสรร งปม.'!P82</f>
        <v>1180</v>
      </c>
      <c r="R5" s="10">
        <f>'จัดสรร งปม.'!Q82</f>
        <v>0</v>
      </c>
      <c r="S5" s="10">
        <f>'จัดสรร งปม.'!R82</f>
        <v>1180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1180</v>
      </c>
      <c r="R6" s="10">
        <f t="shared" si="0"/>
        <v>0</v>
      </c>
      <c r="S6" s="10">
        <f t="shared" si="0"/>
        <v>1180</v>
      </c>
    </row>
    <row r="7" spans="1:19" x14ac:dyDescent="0.3">
      <c r="B7" s="169" t="s">
        <v>157</v>
      </c>
      <c r="C7" s="16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งปม.'!$B$82</f>
        <v>610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งปม.'!$C$82</f>
        <v>โครงการศึกษาดูงานเพิ่มประสิทธิภาพบุคลากร เชียงราย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1"/>
      <c r="C11" s="44" t="s">
        <v>267</v>
      </c>
      <c r="D11" s="119" t="s">
        <v>275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1180</v>
      </c>
      <c r="R11" s="10"/>
      <c r="S11" s="10">
        <f>SUM(E11:R11)</f>
        <v>1180</v>
      </c>
    </row>
    <row r="12" spans="1:19" ht="21.75" x14ac:dyDescent="0.5">
      <c r="A12" s="42" t="s">
        <v>106</v>
      </c>
      <c r="B12" s="81"/>
      <c r="C12" s="44"/>
      <c r="D12" s="11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11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11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11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1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11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8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งปม.'!D84</f>
        <v>1500000</v>
      </c>
      <c r="F5" s="10">
        <f>'จัดสรร งปม.'!E84</f>
        <v>0</v>
      </c>
      <c r="G5" s="10">
        <f>'จัดสรร งปม.'!F84</f>
        <v>0</v>
      </c>
      <c r="H5" s="10">
        <f>'จัดสรร งปม.'!G84</f>
        <v>0</v>
      </c>
      <c r="I5" s="10">
        <f>'จัดสรร งปม.'!H84</f>
        <v>0</v>
      </c>
      <c r="J5" s="10">
        <f>'จัดสรร งปม.'!I84</f>
        <v>0</v>
      </c>
      <c r="K5" s="10">
        <f>'จัดสรร งปม.'!J84</f>
        <v>0</v>
      </c>
      <c r="L5" s="10">
        <f>'จัดสรร งปม.'!K84</f>
        <v>0</v>
      </c>
      <c r="M5" s="10"/>
      <c r="N5" s="10">
        <f>'จัดสรร งปม.'!L84</f>
        <v>0</v>
      </c>
      <c r="O5" s="10"/>
      <c r="P5" s="10">
        <f>'จัดสรร งปม.'!N84</f>
        <v>0</v>
      </c>
      <c r="Q5" s="10">
        <f>'จัดสรร งปม.'!P84</f>
        <v>0</v>
      </c>
      <c r="R5" s="10">
        <f>'จัดสรร งปม.'!Q84</f>
        <v>0</v>
      </c>
      <c r="S5" s="10">
        <f>'จัดสรร งปม.'!R84</f>
        <v>1500000</v>
      </c>
    </row>
    <row r="6" spans="1:19" x14ac:dyDescent="0.3">
      <c r="D6" s="49" t="s">
        <v>94</v>
      </c>
      <c r="E6" s="10">
        <f>SUM(E11:E45)</f>
        <v>1328600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1328600</v>
      </c>
    </row>
    <row r="7" spans="1:19" x14ac:dyDescent="0.3">
      <c r="B7" s="169" t="s">
        <v>158</v>
      </c>
      <c r="C7" s="169"/>
      <c r="D7" s="49" t="s">
        <v>96</v>
      </c>
      <c r="E7" s="10">
        <f>E5-E6</f>
        <v>171400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171400</v>
      </c>
    </row>
    <row r="8" spans="1:19" x14ac:dyDescent="0.3">
      <c r="B8" s="49" t="s">
        <v>99</v>
      </c>
      <c r="C8" s="79">
        <f>'จัดสรร งปม.'!$B$84</f>
        <v>701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งปม.'!$C$84</f>
        <v>ชุดปฏิบัติการเขียนแบบด้วยคอมพิวเตอร์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5" t="s">
        <v>393</v>
      </c>
      <c r="C11" s="86" t="s">
        <v>305</v>
      </c>
      <c r="D11" s="86" t="s">
        <v>260</v>
      </c>
      <c r="E11" s="130">
        <v>1328600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1328600</v>
      </c>
    </row>
    <row r="12" spans="1:19" ht="21.75" x14ac:dyDescent="0.5">
      <c r="A12" s="42" t="s">
        <v>106</v>
      </c>
      <c r="B12" s="85"/>
      <c r="C12" s="86"/>
      <c r="D12" s="86"/>
      <c r="E12" s="13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5"/>
      <c r="C13" s="86"/>
      <c r="D13" s="86"/>
      <c r="E13" s="13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5"/>
      <c r="C14" s="86"/>
      <c r="D14" s="86"/>
      <c r="E14" s="13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5"/>
      <c r="C15" s="86"/>
      <c r="D15" s="86"/>
      <c r="E15" s="13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5"/>
      <c r="C16" s="86"/>
      <c r="D16" s="86"/>
      <c r="E16" s="13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3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3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3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3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3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3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งปม.'!D85</f>
        <v>2000000</v>
      </c>
      <c r="F5" s="10">
        <f>'จัดสรร งปม.'!E85</f>
        <v>0</v>
      </c>
      <c r="G5" s="10">
        <f>'จัดสรร งปม.'!F85</f>
        <v>0</v>
      </c>
      <c r="H5" s="10">
        <f>'จัดสรร งปม.'!G85</f>
        <v>0</v>
      </c>
      <c r="I5" s="10">
        <f>'จัดสรร งปม.'!H85</f>
        <v>0</v>
      </c>
      <c r="J5" s="10">
        <f>'จัดสรร งปม.'!I85</f>
        <v>0</v>
      </c>
      <c r="K5" s="10">
        <f>'จัดสรร งปม.'!J85</f>
        <v>0</v>
      </c>
      <c r="L5" s="10">
        <f>'จัดสรร งปม.'!K85</f>
        <v>0</v>
      </c>
      <c r="M5" s="10"/>
      <c r="N5" s="10">
        <f>'จัดสรร งปม.'!L85</f>
        <v>0</v>
      </c>
      <c r="O5" s="10"/>
      <c r="P5" s="10">
        <f>'จัดสรร งปม.'!N85</f>
        <v>0</v>
      </c>
      <c r="Q5" s="10">
        <f>'จัดสรร งปม.'!P85</f>
        <v>0</v>
      </c>
      <c r="R5" s="10">
        <f>'จัดสรร งปม.'!Q85</f>
        <v>0</v>
      </c>
      <c r="S5" s="10">
        <f>'จัดสรร งปม.'!R85</f>
        <v>2000000</v>
      </c>
    </row>
    <row r="6" spans="1:19" x14ac:dyDescent="0.3">
      <c r="D6" s="49" t="s">
        <v>94</v>
      </c>
      <c r="E6" s="10">
        <f>SUM(E11:E45)</f>
        <v>10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10</v>
      </c>
    </row>
    <row r="7" spans="1:19" x14ac:dyDescent="0.3">
      <c r="B7" s="169" t="s">
        <v>158</v>
      </c>
      <c r="C7" s="169"/>
      <c r="D7" s="49" t="s">
        <v>96</v>
      </c>
      <c r="E7" s="10">
        <f>E5-E6</f>
        <v>1999990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1999990</v>
      </c>
    </row>
    <row r="8" spans="1:19" x14ac:dyDescent="0.3">
      <c r="B8" s="49" t="s">
        <v>99</v>
      </c>
      <c r="C8" s="79">
        <f>'จัดสรร งปม.'!$B$85</f>
        <v>702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งปม.'!$C$85</f>
        <v>ชุดครุภัณฑ์ห้องเรียนอัจฉริยะ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6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งปม.'!D86</f>
        <v>5660700</v>
      </c>
      <c r="F5" s="10">
        <f>'จัดสรร งปม.'!E86</f>
        <v>0</v>
      </c>
      <c r="G5" s="10">
        <f>'จัดสรร งปม.'!F86</f>
        <v>0</v>
      </c>
      <c r="H5" s="10">
        <f>'จัดสรร งปม.'!G86</f>
        <v>0</v>
      </c>
      <c r="I5" s="10">
        <f>'จัดสรร งปม.'!H86</f>
        <v>0</v>
      </c>
      <c r="J5" s="10">
        <f>'จัดสรร งปม.'!I86</f>
        <v>0</v>
      </c>
      <c r="K5" s="10">
        <f>'จัดสรร งปม.'!J86</f>
        <v>0</v>
      </c>
      <c r="L5" s="10">
        <f>'จัดสรร งปม.'!K86</f>
        <v>0</v>
      </c>
      <c r="M5" s="10"/>
      <c r="N5" s="10">
        <f>'จัดสรร งปม.'!L86</f>
        <v>0</v>
      </c>
      <c r="O5" s="10"/>
      <c r="P5" s="10">
        <f>'จัดสรร งปม.'!N86</f>
        <v>0</v>
      </c>
      <c r="Q5" s="10">
        <f>'จัดสรร งปม.'!P86</f>
        <v>0</v>
      </c>
      <c r="R5" s="10">
        <f>'จัดสรร งปม.'!Q86</f>
        <v>0</v>
      </c>
      <c r="S5" s="10">
        <f>'จัดสรร งปม.'!R86</f>
        <v>5660700</v>
      </c>
    </row>
    <row r="6" spans="1:19" x14ac:dyDescent="0.3">
      <c r="D6" s="49" t="s">
        <v>94</v>
      </c>
      <c r="E6" s="10">
        <f>SUM(E11:E45)</f>
        <v>2547000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2547000</v>
      </c>
    </row>
    <row r="7" spans="1:19" x14ac:dyDescent="0.3">
      <c r="B7" s="169" t="s">
        <v>158</v>
      </c>
      <c r="C7" s="169"/>
      <c r="D7" s="49" t="s">
        <v>96</v>
      </c>
      <c r="E7" s="10">
        <f>E5-E6</f>
        <v>3113700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3113700</v>
      </c>
    </row>
    <row r="8" spans="1:19" x14ac:dyDescent="0.3">
      <c r="B8" s="49" t="s">
        <v>99</v>
      </c>
      <c r="C8" s="79">
        <f>'จัดสรร งปม.'!$B$86</f>
        <v>703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งปม.'!$C$86</f>
        <v>วัสดุมุงหลังคาเมทัลชีท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1" t="s">
        <v>358</v>
      </c>
      <c r="C11" s="44" t="s">
        <v>310</v>
      </c>
      <c r="D11" s="44" t="s">
        <v>260</v>
      </c>
      <c r="E11" s="10">
        <v>849000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849000</v>
      </c>
    </row>
    <row r="12" spans="1:19" x14ac:dyDescent="0.3">
      <c r="A12" s="88" t="s">
        <v>106</v>
      </c>
      <c r="B12" s="81" t="s">
        <v>395</v>
      </c>
      <c r="C12" s="44" t="s">
        <v>305</v>
      </c>
      <c r="D12" s="44" t="s">
        <v>260</v>
      </c>
      <c r="E12" s="10">
        <v>849000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849000</v>
      </c>
    </row>
    <row r="13" spans="1:19" x14ac:dyDescent="0.3">
      <c r="A13" s="88" t="s">
        <v>107</v>
      </c>
      <c r="B13" s="81" t="s">
        <v>395</v>
      </c>
      <c r="C13" s="44" t="s">
        <v>305</v>
      </c>
      <c r="D13" s="44" t="s">
        <v>260</v>
      </c>
      <c r="E13" s="10">
        <v>849000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849000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งปม.'!D87</f>
        <v>0</v>
      </c>
      <c r="F5" s="10">
        <f>'จัดสรร งปม.'!E87</f>
        <v>0</v>
      </c>
      <c r="G5" s="10">
        <f>'จัดสรร งปม.'!F87</f>
        <v>0</v>
      </c>
      <c r="H5" s="10">
        <f>'จัดสรร งปม.'!G87</f>
        <v>0</v>
      </c>
      <c r="I5" s="10">
        <f>'จัดสรร งปม.'!H87</f>
        <v>0</v>
      </c>
      <c r="J5" s="10">
        <f>'จัดสรร งปม.'!I87</f>
        <v>0</v>
      </c>
      <c r="K5" s="10">
        <f>'จัดสรร งปม.'!J87</f>
        <v>0</v>
      </c>
      <c r="L5" s="10">
        <f>'จัดสรร งปม.'!K87</f>
        <v>0</v>
      </c>
      <c r="M5" s="10"/>
      <c r="N5" s="10">
        <f>'จัดสรร งปม.'!L87</f>
        <v>0</v>
      </c>
      <c r="O5" s="10"/>
      <c r="P5" s="10">
        <f>'จัดสรร งปม.'!N87</f>
        <v>0</v>
      </c>
      <c r="Q5" s="10">
        <f>'จัดสรร งปม.'!P87</f>
        <v>0</v>
      </c>
      <c r="R5" s="10">
        <f>'จัดสรร งปม.'!Q87</f>
        <v>0</v>
      </c>
      <c r="S5" s="10">
        <f>'จัดสรร งปม.'!R87</f>
        <v>0</v>
      </c>
    </row>
    <row r="6" spans="1:19" x14ac:dyDescent="0.3">
      <c r="D6" s="49" t="s">
        <v>94</v>
      </c>
      <c r="E6" s="10">
        <f>SUM(E11:E45)</f>
        <v>20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20</v>
      </c>
    </row>
    <row r="7" spans="1:19" x14ac:dyDescent="0.3">
      <c r="B7" s="169" t="s">
        <v>158</v>
      </c>
      <c r="C7" s="169"/>
      <c r="D7" s="49" t="s">
        <v>96</v>
      </c>
      <c r="E7" s="10">
        <f>E5-E6</f>
        <v>-20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-20</v>
      </c>
    </row>
    <row r="8" spans="1:19" x14ac:dyDescent="0.3">
      <c r="B8" s="49" t="s">
        <v>99</v>
      </c>
      <c r="C8" s="79">
        <f>'จัดสรร งปม.'!$B$87</f>
        <v>704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งปม.'!$C$87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งปม.'!D88</f>
        <v>0</v>
      </c>
      <c r="F5" s="10">
        <f>'จัดสรร งปม.'!E88</f>
        <v>0</v>
      </c>
      <c r="G5" s="10">
        <f>'จัดสรร งปม.'!F88</f>
        <v>0</v>
      </c>
      <c r="H5" s="10">
        <f>'จัดสรร งปม.'!G88</f>
        <v>0</v>
      </c>
      <c r="I5" s="10">
        <f>'จัดสรร งปม.'!H88</f>
        <v>0</v>
      </c>
      <c r="J5" s="10">
        <f>'จัดสรร งปม.'!I88</f>
        <v>0</v>
      </c>
      <c r="K5" s="10">
        <f>'จัดสรร งปม.'!J88</f>
        <v>0</v>
      </c>
      <c r="L5" s="10">
        <f>'จัดสรร งปม.'!K88</f>
        <v>0</v>
      </c>
      <c r="M5" s="10"/>
      <c r="N5" s="10">
        <f>'จัดสรร งปม.'!L88</f>
        <v>0</v>
      </c>
      <c r="O5" s="10"/>
      <c r="P5" s="10">
        <f>'จัดสรร งปม.'!N88</f>
        <v>0</v>
      </c>
      <c r="Q5" s="10">
        <f>'จัดสรร งปม.'!P88</f>
        <v>0</v>
      </c>
      <c r="R5" s="10">
        <f>'จัดสรร งปม.'!Q88</f>
        <v>0</v>
      </c>
      <c r="S5" s="10">
        <f>'จัดสรร งปม.'!R88</f>
        <v>0</v>
      </c>
    </row>
    <row r="6" spans="1:19" x14ac:dyDescent="0.3">
      <c r="D6" s="49" t="s">
        <v>94</v>
      </c>
      <c r="E6" s="10">
        <f>SUM(E11:E45)</f>
        <v>25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25</v>
      </c>
    </row>
    <row r="7" spans="1:19" x14ac:dyDescent="0.3">
      <c r="B7" s="169" t="s">
        <v>158</v>
      </c>
      <c r="C7" s="169"/>
      <c r="D7" s="49" t="s">
        <v>96</v>
      </c>
      <c r="E7" s="10">
        <f>E5-E6</f>
        <v>-25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-25</v>
      </c>
    </row>
    <row r="8" spans="1:19" x14ac:dyDescent="0.3">
      <c r="B8" s="49" t="s">
        <v>99</v>
      </c>
      <c r="C8" s="79">
        <f>'จัดสรร งปม.'!$B$88</f>
        <v>705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งปม.'!$C$88</f>
        <v>สำรอง 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10">
    <mergeCell ref="S3:S4"/>
    <mergeCell ref="C9:G9"/>
    <mergeCell ref="H9:N9"/>
    <mergeCell ref="Q9:R9"/>
    <mergeCell ref="B7:C7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งปม.'!D90</f>
        <v>0</v>
      </c>
      <c r="F5" s="10">
        <f>'จัดสรร งปม.'!E90</f>
        <v>0</v>
      </c>
      <c r="G5" s="10">
        <f>'จัดสรร งปม.'!F90</f>
        <v>0</v>
      </c>
      <c r="H5" s="10">
        <f>'จัดสรร งปม.'!G90</f>
        <v>0</v>
      </c>
      <c r="I5" s="10">
        <f>'จัดสรร งปม.'!H90</f>
        <v>0</v>
      </c>
      <c r="J5" s="10">
        <f>'จัดสรร งปม.'!I90</f>
        <v>0</v>
      </c>
      <c r="K5" s="10">
        <f>'จัดสรร งปม.'!J90</f>
        <v>0</v>
      </c>
      <c r="L5" s="10">
        <f>'จัดสรร งปม.'!K90</f>
        <v>0</v>
      </c>
      <c r="M5" s="10"/>
      <c r="N5" s="10">
        <f>'จัดสรร งปม.'!L90</f>
        <v>0</v>
      </c>
      <c r="O5" s="10"/>
      <c r="P5" s="10">
        <f>'จัดสรร งปม.'!N90</f>
        <v>0</v>
      </c>
      <c r="Q5" s="10">
        <f>'จัดสรร งปม.'!P90</f>
        <v>0</v>
      </c>
      <c r="R5" s="10">
        <f>'จัดสรร งปม.'!Q90</f>
        <v>0</v>
      </c>
      <c r="S5" s="10">
        <f>'จัดสรร งปม.'!R90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งปม.'!$B$90</f>
        <v>801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งปม.'!$C$90</f>
        <v>ค่าหนังสือเรียน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  <pageSetup paperSize="9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งปม.'!D91</f>
        <v>0</v>
      </c>
      <c r="F5" s="10">
        <f>'จัดสรร งปม.'!E91</f>
        <v>0</v>
      </c>
      <c r="G5" s="10">
        <f>'จัดสรร งปม.'!F91</f>
        <v>0</v>
      </c>
      <c r="H5" s="10">
        <f>'จัดสรร งปม.'!G91</f>
        <v>0</v>
      </c>
      <c r="I5" s="10">
        <f>'จัดสรร งปม.'!H91</f>
        <v>0</v>
      </c>
      <c r="J5" s="10">
        <f>'จัดสรร งปม.'!I91</f>
        <v>0</v>
      </c>
      <c r="K5" s="10">
        <f>'จัดสรร งปม.'!J91</f>
        <v>0</v>
      </c>
      <c r="L5" s="10">
        <f>'จัดสรร งปม.'!K91</f>
        <v>0</v>
      </c>
      <c r="M5" s="10"/>
      <c r="N5" s="10">
        <f>'จัดสรร งปม.'!L91</f>
        <v>0</v>
      </c>
      <c r="O5" s="10"/>
      <c r="P5" s="10">
        <f>'จัดสรร งปม.'!N91</f>
        <v>0</v>
      </c>
      <c r="Q5" s="10">
        <f>'จัดสรร งปม.'!P91</f>
        <v>0</v>
      </c>
      <c r="R5" s="10">
        <f>'จัดสรร งปม.'!Q91</f>
        <v>0</v>
      </c>
      <c r="S5" s="10">
        <f>'จัดสรร งปม.'!R91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งปม.'!$B$91</f>
        <v>802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งปม.'!$C$91</f>
        <v>ค่าเครื่องแบบนักเรียน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งปม.'!D92</f>
        <v>0</v>
      </c>
      <c r="F5" s="10">
        <f>'จัดสรร งปม.'!E92</f>
        <v>0</v>
      </c>
      <c r="G5" s="10">
        <f>'จัดสรร งปม.'!F92</f>
        <v>0</v>
      </c>
      <c r="H5" s="10">
        <f>'จัดสรร งปม.'!G92</f>
        <v>0</v>
      </c>
      <c r="I5" s="10">
        <f>'จัดสรร งปม.'!H92</f>
        <v>0</v>
      </c>
      <c r="J5" s="10">
        <f>'จัดสรร งปม.'!I92</f>
        <v>0</v>
      </c>
      <c r="K5" s="10">
        <f>'จัดสรร งปม.'!J92</f>
        <v>0</v>
      </c>
      <c r="L5" s="10">
        <f>'จัดสรร งปม.'!K92</f>
        <v>135240</v>
      </c>
      <c r="M5" s="10"/>
      <c r="N5" s="10">
        <f>'จัดสรร งปม.'!L92</f>
        <v>0</v>
      </c>
      <c r="O5" s="10"/>
      <c r="P5" s="10">
        <f>'จัดสรร งปม.'!N92</f>
        <v>0</v>
      </c>
      <c r="Q5" s="10">
        <f>'จัดสรร งปม.'!P92</f>
        <v>0</v>
      </c>
      <c r="R5" s="10">
        <f>'จัดสรร งปม.'!Q92</f>
        <v>0</v>
      </c>
      <c r="S5" s="10">
        <f>'จัดสรร งปม.'!R92</f>
        <v>135240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135240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135240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งปม.'!$B$92</f>
        <v>803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งปม.'!$C$92</f>
        <v>ค่าอุปกรณ์การเรียน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5" t="s">
        <v>244</v>
      </c>
      <c r="C11" s="86" t="s">
        <v>239</v>
      </c>
      <c r="D11" s="86" t="s">
        <v>240</v>
      </c>
      <c r="E11" s="10"/>
      <c r="F11" s="10"/>
      <c r="G11" s="10"/>
      <c r="H11" s="10"/>
      <c r="I11" s="10"/>
      <c r="J11" s="10"/>
      <c r="K11" s="10"/>
      <c r="L11" s="10">
        <v>135240</v>
      </c>
      <c r="M11" s="10"/>
      <c r="N11" s="10"/>
      <c r="O11" s="10"/>
      <c r="P11" s="10"/>
      <c r="Q11" s="10"/>
      <c r="R11" s="10"/>
      <c r="S11" s="10">
        <f>SUM(E11:R11)</f>
        <v>135240</v>
      </c>
    </row>
    <row r="12" spans="1:19" ht="21.75" x14ac:dyDescent="0.5">
      <c r="A12" s="42" t="s">
        <v>106</v>
      </c>
      <c r="B12" s="85"/>
      <c r="C12" s="86"/>
      <c r="D12" s="8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5"/>
      <c r="C13" s="86"/>
      <c r="D13" s="8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5"/>
      <c r="C14" s="86"/>
      <c r="D14" s="86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5"/>
      <c r="C15" s="86"/>
      <c r="D15" s="8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5"/>
      <c r="C16" s="86"/>
      <c r="D16" s="8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21.6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งปม.'!D93</f>
        <v>0</v>
      </c>
      <c r="F5" s="10">
        <f>'จัดสรร งปม.'!E93</f>
        <v>0</v>
      </c>
      <c r="G5" s="10">
        <f>'จัดสรร งปม.'!F93</f>
        <v>0</v>
      </c>
      <c r="H5" s="10">
        <f>'จัดสรร งปม.'!G93</f>
        <v>0</v>
      </c>
      <c r="I5" s="10">
        <f>'จัดสรร งปม.'!H93</f>
        <v>0</v>
      </c>
      <c r="J5" s="10">
        <f>'จัดสรร งปม.'!I93</f>
        <v>0</v>
      </c>
      <c r="K5" s="10">
        <f>'จัดสรร งปม.'!J93</f>
        <v>69520</v>
      </c>
      <c r="L5" s="10">
        <f>'จัดสรร งปม.'!K93</f>
        <v>0</v>
      </c>
      <c r="M5" s="10"/>
      <c r="N5" s="10">
        <f>'จัดสรร งปม.'!L93</f>
        <v>0</v>
      </c>
      <c r="O5" s="10"/>
      <c r="P5" s="10">
        <f>'จัดสรร งปม.'!N93</f>
        <v>0</v>
      </c>
      <c r="Q5" s="10">
        <f>'จัดสรร งปม.'!P93</f>
        <v>0</v>
      </c>
      <c r="R5" s="10">
        <f>'จัดสรร งปม.'!Q93</f>
        <v>0</v>
      </c>
      <c r="S5" s="10">
        <f>'จัดสรร งปม.'!R93</f>
        <v>69520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69520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69520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งปม.'!$B$93</f>
        <v>804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งปม.'!$C$93</f>
        <v>ค่ากิจกรรมพัฒนาคุณภาพผู้เรียน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x14ac:dyDescent="0.3">
      <c r="A11" s="84" t="s">
        <v>105</v>
      </c>
      <c r="B11" s="81" t="s">
        <v>291</v>
      </c>
      <c r="C11" s="44" t="s">
        <v>271</v>
      </c>
      <c r="D11" s="90" t="s">
        <v>6</v>
      </c>
      <c r="E11" s="10"/>
      <c r="F11" s="10"/>
      <c r="G11" s="10"/>
      <c r="H11" s="10"/>
      <c r="I11" s="10"/>
      <c r="J11" s="10"/>
      <c r="K11" s="10">
        <v>4000</v>
      </c>
      <c r="L11" s="10"/>
      <c r="M11" s="10"/>
      <c r="N11" s="10"/>
      <c r="O11" s="10"/>
      <c r="P11" s="10"/>
      <c r="Q11" s="10"/>
      <c r="R11" s="10"/>
      <c r="S11" s="10">
        <f>SUM(E11:R11)</f>
        <v>4000</v>
      </c>
    </row>
    <row r="12" spans="1:19" x14ac:dyDescent="0.3">
      <c r="A12" s="88" t="s">
        <v>106</v>
      </c>
      <c r="B12" s="81" t="s">
        <v>244</v>
      </c>
      <c r="C12" s="44" t="s">
        <v>296</v>
      </c>
      <c r="D12" s="90" t="s">
        <v>6</v>
      </c>
      <c r="E12" s="10"/>
      <c r="F12" s="10"/>
      <c r="G12" s="10"/>
      <c r="H12" s="10"/>
      <c r="I12" s="10"/>
      <c r="J12" s="10"/>
      <c r="K12" s="10">
        <v>2900</v>
      </c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2900</v>
      </c>
    </row>
    <row r="13" spans="1:19" x14ac:dyDescent="0.3">
      <c r="A13" s="88" t="s">
        <v>107</v>
      </c>
      <c r="B13" s="81" t="s">
        <v>280</v>
      </c>
      <c r="C13" s="44" t="s">
        <v>297</v>
      </c>
      <c r="D13" s="90" t="s">
        <v>6</v>
      </c>
      <c r="E13" s="10"/>
      <c r="F13" s="10"/>
      <c r="G13" s="10"/>
      <c r="H13" s="10"/>
      <c r="I13" s="10"/>
      <c r="J13" s="10"/>
      <c r="K13" s="10">
        <v>4000</v>
      </c>
      <c r="L13" s="10"/>
      <c r="M13" s="10"/>
      <c r="N13" s="10"/>
      <c r="O13" s="10"/>
      <c r="P13" s="10"/>
      <c r="Q13" s="10"/>
      <c r="R13" s="10"/>
      <c r="S13" s="10">
        <f t="shared" si="2"/>
        <v>4000</v>
      </c>
    </row>
    <row r="14" spans="1:19" x14ac:dyDescent="0.3">
      <c r="A14" s="88" t="s">
        <v>108</v>
      </c>
      <c r="B14" s="81" t="s">
        <v>292</v>
      </c>
      <c r="C14" s="44" t="s">
        <v>298</v>
      </c>
      <c r="D14" s="90" t="s">
        <v>6</v>
      </c>
      <c r="E14" s="10"/>
      <c r="F14" s="10"/>
      <c r="G14" s="10"/>
      <c r="H14" s="10"/>
      <c r="I14" s="10"/>
      <c r="J14" s="10"/>
      <c r="K14" s="10">
        <v>35320</v>
      </c>
      <c r="L14" s="10"/>
      <c r="M14" s="10"/>
      <c r="N14" s="10"/>
      <c r="O14" s="10"/>
      <c r="P14" s="10"/>
      <c r="Q14" s="10"/>
      <c r="R14" s="10"/>
      <c r="S14" s="10">
        <f t="shared" si="2"/>
        <v>35320</v>
      </c>
    </row>
    <row r="15" spans="1:19" x14ac:dyDescent="0.3">
      <c r="A15" s="88" t="s">
        <v>109</v>
      </c>
      <c r="B15" s="81" t="s">
        <v>262</v>
      </c>
      <c r="C15" s="44" t="s">
        <v>298</v>
      </c>
      <c r="D15" s="90" t="s">
        <v>6</v>
      </c>
      <c r="E15" s="10"/>
      <c r="F15" s="10"/>
      <c r="G15" s="10"/>
      <c r="H15" s="10"/>
      <c r="I15" s="10"/>
      <c r="J15" s="10"/>
      <c r="K15" s="10">
        <v>13500</v>
      </c>
      <c r="L15" s="10"/>
      <c r="M15" s="10"/>
      <c r="N15" s="10"/>
      <c r="O15" s="10"/>
      <c r="P15" s="10"/>
      <c r="Q15" s="10"/>
      <c r="R15" s="10"/>
      <c r="S15" s="10">
        <f t="shared" si="2"/>
        <v>13500</v>
      </c>
    </row>
    <row r="16" spans="1:19" x14ac:dyDescent="0.3">
      <c r="A16" s="88" t="s">
        <v>110</v>
      </c>
      <c r="B16" s="81" t="s">
        <v>293</v>
      </c>
      <c r="C16" s="44" t="s">
        <v>299</v>
      </c>
      <c r="D16" s="90" t="s">
        <v>351</v>
      </c>
      <c r="E16" s="10"/>
      <c r="F16" s="10"/>
      <c r="G16" s="10"/>
      <c r="H16" s="10"/>
      <c r="I16" s="10"/>
      <c r="J16" s="10"/>
      <c r="K16" s="10">
        <v>5800</v>
      </c>
      <c r="L16" s="10"/>
      <c r="M16" s="10"/>
      <c r="N16" s="10"/>
      <c r="O16" s="10"/>
      <c r="P16" s="10"/>
      <c r="Q16" s="10"/>
      <c r="R16" s="10"/>
      <c r="S16" s="10">
        <f t="shared" si="2"/>
        <v>5800</v>
      </c>
    </row>
    <row r="17" spans="1:19" x14ac:dyDescent="0.3">
      <c r="A17" s="88" t="s">
        <v>111</v>
      </c>
      <c r="B17" s="81" t="s">
        <v>294</v>
      </c>
      <c r="C17" s="44" t="s">
        <v>300</v>
      </c>
      <c r="D17" s="90" t="s">
        <v>6</v>
      </c>
      <c r="E17" s="10"/>
      <c r="F17" s="10"/>
      <c r="G17" s="10"/>
      <c r="H17" s="10"/>
      <c r="I17" s="10"/>
      <c r="J17" s="10"/>
      <c r="K17" s="10">
        <v>2000</v>
      </c>
      <c r="L17" s="10"/>
      <c r="M17" s="10"/>
      <c r="N17" s="10"/>
      <c r="O17" s="10"/>
      <c r="P17" s="10"/>
      <c r="Q17" s="10"/>
      <c r="R17" s="10"/>
      <c r="S17" s="10">
        <f t="shared" si="2"/>
        <v>2000</v>
      </c>
    </row>
    <row r="18" spans="1:19" x14ac:dyDescent="0.3">
      <c r="A18" s="88" t="s">
        <v>112</v>
      </c>
      <c r="B18" s="81" t="s">
        <v>295</v>
      </c>
      <c r="C18" s="44" t="s">
        <v>301</v>
      </c>
      <c r="D18" s="90" t="s">
        <v>6</v>
      </c>
      <c r="E18" s="10"/>
      <c r="F18" s="10"/>
      <c r="G18" s="10"/>
      <c r="H18" s="10"/>
      <c r="I18" s="10"/>
      <c r="J18" s="10"/>
      <c r="K18" s="10">
        <v>2000</v>
      </c>
      <c r="L18" s="10"/>
      <c r="M18" s="10"/>
      <c r="N18" s="10"/>
      <c r="O18" s="10"/>
      <c r="P18" s="10"/>
      <c r="Q18" s="10"/>
      <c r="R18" s="10"/>
      <c r="S18" s="10">
        <f t="shared" si="2"/>
        <v>2000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งปม.'!D94</f>
        <v>0</v>
      </c>
      <c r="F5" s="10">
        <f>'จัดสรร งปม.'!E94</f>
        <v>0</v>
      </c>
      <c r="G5" s="10">
        <f>'จัดสรร งปม.'!F94</f>
        <v>0</v>
      </c>
      <c r="H5" s="10">
        <f>'จัดสรร งปม.'!G94</f>
        <v>0</v>
      </c>
      <c r="I5" s="10">
        <f>'จัดสรร งปม.'!H94</f>
        <v>0</v>
      </c>
      <c r="J5" s="10">
        <f>'จัดสรร งปม.'!I94</f>
        <v>0</v>
      </c>
      <c r="K5" s="10">
        <f>'จัดสรร งปม.'!J94</f>
        <v>0</v>
      </c>
      <c r="L5" s="10">
        <f>'จัดสรร งปม.'!K94</f>
        <v>0</v>
      </c>
      <c r="M5" s="10"/>
      <c r="N5" s="10">
        <f>'จัดสรร งปม.'!L94</f>
        <v>0</v>
      </c>
      <c r="O5" s="10"/>
      <c r="P5" s="10">
        <f>'จัดสรร งปม.'!N94</f>
        <v>0</v>
      </c>
      <c r="Q5" s="10">
        <f>'จัดสรร งปม.'!P94</f>
        <v>0</v>
      </c>
      <c r="R5" s="10">
        <f>'จัดสรร งปม.'!Q94</f>
        <v>0</v>
      </c>
      <c r="S5" s="10">
        <f>'จัดสรร งปม.'!R94</f>
        <v>0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งปม.'!$B$94</f>
        <v>805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งปม.'!$C$94</f>
        <v>ค่าเครื่องมือประจำตัวผู้เรียน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87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งปม.'!D95</f>
        <v>0</v>
      </c>
      <c r="F5" s="10">
        <f>'จัดสรร งปม.'!E95</f>
        <v>0</v>
      </c>
      <c r="G5" s="10">
        <f>'จัดสรร งปม.'!F95</f>
        <v>0</v>
      </c>
      <c r="H5" s="10">
        <f>'จัดสรร งปม.'!G95</f>
        <v>15816</v>
      </c>
      <c r="I5" s="10">
        <f>'จัดสรร งปม.'!H95</f>
        <v>0</v>
      </c>
      <c r="J5" s="10">
        <f>'จัดสรร งปม.'!I95</f>
        <v>0</v>
      </c>
      <c r="K5" s="10">
        <f>'จัดสรร งปม.'!J95</f>
        <v>0</v>
      </c>
      <c r="L5" s="10">
        <f>'จัดสรร งปม.'!K95</f>
        <v>0</v>
      </c>
      <c r="M5" s="10"/>
      <c r="N5" s="10">
        <f>'จัดสรร งปม.'!L95</f>
        <v>0</v>
      </c>
      <c r="O5" s="10"/>
      <c r="P5" s="10">
        <f>'จัดสรร งปม.'!N95</f>
        <v>0</v>
      </c>
      <c r="Q5" s="10">
        <f>'จัดสรร งปม.'!P95</f>
        <v>0</v>
      </c>
      <c r="R5" s="10">
        <f>'จัดสรร งปม.'!Q95</f>
        <v>0</v>
      </c>
      <c r="S5" s="10">
        <f>'จัดสรร งปม.'!R95</f>
        <v>15816</v>
      </c>
    </row>
    <row r="6" spans="1:19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15816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15816</v>
      </c>
    </row>
    <row r="7" spans="1:19" x14ac:dyDescent="0.3">
      <c r="B7" s="77" t="s">
        <v>159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19" x14ac:dyDescent="0.3">
      <c r="B8" s="49" t="s">
        <v>99</v>
      </c>
      <c r="C8" s="79">
        <f>'จัดสรร งปม.'!$B$95</f>
        <v>806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งปม.'!$C$95</f>
        <v>ค่าจัดการเรียนการสอน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" x14ac:dyDescent="0.35">
      <c r="A11" s="21" t="s">
        <v>105</v>
      </c>
      <c r="B11" s="103" t="s">
        <v>261</v>
      </c>
      <c r="C11" s="98" t="s">
        <v>324</v>
      </c>
      <c r="D11" s="99" t="s">
        <v>274</v>
      </c>
      <c r="E11" s="10"/>
      <c r="F11" s="10"/>
      <c r="G11" s="10"/>
      <c r="H11" s="10">
        <v>10116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10116</v>
      </c>
    </row>
    <row r="12" spans="1:19" ht="21" x14ac:dyDescent="0.35">
      <c r="A12" s="42" t="s">
        <v>106</v>
      </c>
      <c r="B12" s="103" t="s">
        <v>261</v>
      </c>
      <c r="C12" s="98" t="s">
        <v>339</v>
      </c>
      <c r="D12" s="99" t="s">
        <v>274</v>
      </c>
      <c r="E12" s="10"/>
      <c r="F12" s="10"/>
      <c r="G12" s="10"/>
      <c r="H12" s="10">
        <v>5700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5700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x14ac:dyDescent="0.3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x14ac:dyDescent="0.3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x14ac:dyDescent="0.3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x14ac:dyDescent="0.3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x14ac:dyDescent="0.3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งปม.'!D96</f>
        <v>0</v>
      </c>
      <c r="F5" s="10">
        <f>'จัดสรร งปม.'!E96</f>
        <v>0</v>
      </c>
      <c r="G5" s="10">
        <f>'จัดสรร งปม.'!F96</f>
        <v>0</v>
      </c>
      <c r="H5" s="10">
        <f>'จัดสรร งปม.'!G96</f>
        <v>0</v>
      </c>
      <c r="I5" s="10">
        <f>'จัดสรร งปม.'!H96</f>
        <v>0</v>
      </c>
      <c r="J5" s="10">
        <f>'จัดสรร งปม.'!I96</f>
        <v>0</v>
      </c>
      <c r="K5" s="10">
        <f>'จัดสรร งปม.'!J96</f>
        <v>0</v>
      </c>
      <c r="L5" s="10">
        <f>'จัดสรร งปม.'!K96</f>
        <v>0</v>
      </c>
      <c r="M5" s="10"/>
      <c r="N5" s="10">
        <f>'จัดสรร งปม.'!L96</f>
        <v>0</v>
      </c>
      <c r="O5" s="10"/>
      <c r="P5" s="10">
        <f>'จัดสรร งปม.'!N96</f>
        <v>0</v>
      </c>
      <c r="Q5" s="10">
        <f>'จัดสรร งปม.'!P96</f>
        <v>0</v>
      </c>
      <c r="R5" s="10">
        <f>'จัดสรร งปม.'!Q96</f>
        <v>0</v>
      </c>
      <c r="S5" s="10">
        <f>'จัดสรร งปม.'!R96</f>
        <v>0</v>
      </c>
    </row>
    <row r="6" spans="1:19" x14ac:dyDescent="0.3">
      <c r="D6" s="49" t="s">
        <v>94</v>
      </c>
      <c r="E6" s="10">
        <f>SUM(E11:E45)</f>
        <v>35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35</v>
      </c>
    </row>
    <row r="7" spans="1:19" x14ac:dyDescent="0.3">
      <c r="B7" s="77" t="s">
        <v>159</v>
      </c>
      <c r="C7" s="79"/>
      <c r="D7" s="49" t="s">
        <v>96</v>
      </c>
      <c r="E7" s="10">
        <f>E5-E6</f>
        <v>-35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-35</v>
      </c>
    </row>
    <row r="8" spans="1:19" x14ac:dyDescent="0.3">
      <c r="B8" s="49" t="s">
        <v>99</v>
      </c>
      <c r="C8" s="79">
        <f>'จัดสรร งปม.'!$B$96</f>
        <v>807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งปม.'!$C$96</f>
        <v>สำรอง 2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35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งปม.'!D97</f>
        <v>0</v>
      </c>
      <c r="F5" s="10">
        <f>'จัดสรร งปม.'!E97</f>
        <v>0</v>
      </c>
      <c r="G5" s="10">
        <f>'จัดสรร งปม.'!F97</f>
        <v>0</v>
      </c>
      <c r="H5" s="10">
        <f>'จัดสรร งปม.'!G97</f>
        <v>0</v>
      </c>
      <c r="I5" s="10">
        <f>'จัดสรร งปม.'!H97</f>
        <v>0</v>
      </c>
      <c r="J5" s="10">
        <f>'จัดสรร งปม.'!I97</f>
        <v>0</v>
      </c>
      <c r="K5" s="10">
        <f>'จัดสรร งปม.'!J97</f>
        <v>0</v>
      </c>
      <c r="L5" s="10">
        <f>'จัดสรร งปม.'!K97</f>
        <v>0</v>
      </c>
      <c r="M5" s="10"/>
      <c r="N5" s="10">
        <f>'จัดสรร งปม.'!L97</f>
        <v>0</v>
      </c>
      <c r="O5" s="10"/>
      <c r="P5" s="10">
        <f>'จัดสรร งปม.'!N97</f>
        <v>0</v>
      </c>
      <c r="Q5" s="10">
        <f>'จัดสรร งปม.'!P97</f>
        <v>0</v>
      </c>
      <c r="R5" s="10">
        <f>'จัดสรร งปม.'!Q97</f>
        <v>0</v>
      </c>
      <c r="S5" s="10">
        <f>'จัดสรร งปม.'!R97</f>
        <v>0</v>
      </c>
    </row>
    <row r="6" spans="1:19" x14ac:dyDescent="0.3">
      <c r="D6" s="49" t="s">
        <v>94</v>
      </c>
      <c r="E6" s="10">
        <f>SUM(E11:E45)</f>
        <v>40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40</v>
      </c>
    </row>
    <row r="7" spans="1:19" x14ac:dyDescent="0.3">
      <c r="B7" s="77" t="s">
        <v>159</v>
      </c>
      <c r="C7" s="79"/>
      <c r="D7" s="49" t="s">
        <v>96</v>
      </c>
      <c r="E7" s="10">
        <f>E5-E6</f>
        <v>-40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-40</v>
      </c>
    </row>
    <row r="8" spans="1:19" x14ac:dyDescent="0.3">
      <c r="B8" s="49" t="s">
        <v>99</v>
      </c>
      <c r="C8" s="79">
        <f>'จัดสรร งปม.'!$B$97</f>
        <v>808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งปม.'!$C$97</f>
        <v>สำรอง 3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40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งปม.'!D88</f>
        <v>0</v>
      </c>
      <c r="F5" s="10">
        <f>'จัดสรร งปม.'!E88</f>
        <v>0</v>
      </c>
      <c r="G5" s="10">
        <f>'จัดสรร งปม.'!F88</f>
        <v>0</v>
      </c>
      <c r="H5" s="10">
        <f>'จัดสรร งปม.'!G88</f>
        <v>0</v>
      </c>
      <c r="I5" s="10">
        <f>'จัดสรร งปม.'!H88</f>
        <v>0</v>
      </c>
      <c r="J5" s="10">
        <f>'จัดสรร งปม.'!I88</f>
        <v>0</v>
      </c>
      <c r="K5" s="10">
        <f>'จัดสรร งปม.'!J88</f>
        <v>0</v>
      </c>
      <c r="L5" s="10">
        <f>'จัดสรร งปม.'!K88</f>
        <v>0</v>
      </c>
      <c r="M5" s="10"/>
      <c r="N5" s="10">
        <f>'จัดสรร งปม.'!L88</f>
        <v>0</v>
      </c>
      <c r="O5" s="10"/>
      <c r="P5" s="10">
        <f>'จัดสรร งปม.'!N88</f>
        <v>0</v>
      </c>
      <c r="Q5" s="10">
        <f>'จัดสรร งปม.'!P88</f>
        <v>0</v>
      </c>
      <c r="R5" s="10">
        <f>'จัดสรร งปม.'!Q88</f>
        <v>0</v>
      </c>
      <c r="S5" s="10">
        <f>'จัดสรร งปม.'!R88</f>
        <v>0</v>
      </c>
    </row>
    <row r="6" spans="1:19" x14ac:dyDescent="0.3">
      <c r="D6" s="49" t="s">
        <v>94</v>
      </c>
      <c r="E6" s="10">
        <f>SUM(E11:E45)</f>
        <v>25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25</v>
      </c>
    </row>
    <row r="7" spans="1:19" x14ac:dyDescent="0.3">
      <c r="B7" s="77" t="s">
        <v>159</v>
      </c>
      <c r="C7" s="79"/>
      <c r="D7" s="49" t="s">
        <v>96</v>
      </c>
      <c r="E7" s="10">
        <f>E5-E6</f>
        <v>-25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-25</v>
      </c>
    </row>
    <row r="8" spans="1:19" x14ac:dyDescent="0.3">
      <c r="B8" s="49" t="s">
        <v>99</v>
      </c>
      <c r="C8" s="79">
        <f>'จัดสรร งปม.'!$B$98</f>
        <v>809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งปม.'!$C$98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25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งปม.'!D99</f>
        <v>0</v>
      </c>
      <c r="F5" s="10">
        <f>'จัดสรร งปม.'!E99</f>
        <v>0</v>
      </c>
      <c r="G5" s="10">
        <f>'จัดสรร งปม.'!F99</f>
        <v>0</v>
      </c>
      <c r="H5" s="10">
        <f>'จัดสรร งปม.'!G99</f>
        <v>0</v>
      </c>
      <c r="I5" s="10">
        <f>'จัดสรร งปม.'!H99</f>
        <v>0</v>
      </c>
      <c r="J5" s="10">
        <f>'จัดสรร งปม.'!I99</f>
        <v>0</v>
      </c>
      <c r="K5" s="10">
        <f>'จัดสรร งปม.'!J99</f>
        <v>0</v>
      </c>
      <c r="L5" s="10">
        <f>'จัดสรร งปม.'!K99</f>
        <v>0</v>
      </c>
      <c r="M5" s="10"/>
      <c r="N5" s="10">
        <f>'จัดสรร งปม.'!L99</f>
        <v>0</v>
      </c>
      <c r="O5" s="10"/>
      <c r="P5" s="10">
        <f>'จัดสรร งปม.'!N99</f>
        <v>0</v>
      </c>
      <c r="Q5" s="10">
        <f>'จัดสรร งปม.'!P99</f>
        <v>0</v>
      </c>
      <c r="R5" s="10">
        <f>'จัดสรร งปม.'!Q99</f>
        <v>0</v>
      </c>
      <c r="S5" s="10">
        <f>'จัดสรร งปม.'!R99</f>
        <v>0</v>
      </c>
    </row>
    <row r="6" spans="1:19" x14ac:dyDescent="0.3">
      <c r="D6" s="49" t="s">
        <v>94</v>
      </c>
      <c r="E6" s="10">
        <f>SUM(E11:E45)</f>
        <v>50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50</v>
      </c>
    </row>
    <row r="7" spans="1:19" x14ac:dyDescent="0.3">
      <c r="B7" s="77" t="s">
        <v>159</v>
      </c>
      <c r="C7" s="79"/>
      <c r="D7" s="49" t="s">
        <v>96</v>
      </c>
      <c r="E7" s="10">
        <f>E5-E6</f>
        <v>-50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-50</v>
      </c>
    </row>
    <row r="8" spans="1:19" x14ac:dyDescent="0.3">
      <c r="B8" s="49" t="s">
        <v>99</v>
      </c>
      <c r="C8" s="79">
        <f>'จัดสรร งปม.'!$B$99</f>
        <v>810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งปม.'!$C$99</f>
        <v>สำรอง 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50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งปม.'!D101</f>
        <v>0</v>
      </c>
      <c r="F5" s="10">
        <f>'จัดสรร งปม.'!E101</f>
        <v>0</v>
      </c>
      <c r="G5" s="10">
        <f>'จัดสรร งปม.'!F101</f>
        <v>0</v>
      </c>
      <c r="H5" s="10">
        <f>'จัดสรร งปม.'!G101</f>
        <v>0</v>
      </c>
      <c r="I5" s="10">
        <f>'จัดสรร งปม.'!H101</f>
        <v>0</v>
      </c>
      <c r="J5" s="10">
        <f>'จัดสรร งปม.'!I101</f>
        <v>0</v>
      </c>
      <c r="K5" s="10">
        <f>'จัดสรร งปม.'!J101</f>
        <v>0</v>
      </c>
      <c r="L5" s="10">
        <f>'จัดสรร งปม.'!K101</f>
        <v>0</v>
      </c>
      <c r="M5" s="10"/>
      <c r="N5" s="10">
        <f>'จัดสรร งปม.'!L101</f>
        <v>0</v>
      </c>
      <c r="O5" s="10"/>
      <c r="P5" s="10">
        <f>'จัดสรร งปม.'!N101</f>
        <v>0</v>
      </c>
      <c r="Q5" s="10">
        <f>'จัดสรร งปม.'!P101</f>
        <v>0</v>
      </c>
      <c r="R5" s="10">
        <f>'จัดสรร งปม.'!Q101</f>
        <v>0</v>
      </c>
      <c r="S5" s="10">
        <f>'จัดสรร งปม.'!R101</f>
        <v>0</v>
      </c>
    </row>
    <row r="6" spans="1:19" x14ac:dyDescent="0.3">
      <c r="D6" s="49" t="s">
        <v>94</v>
      </c>
      <c r="E6" s="10">
        <f>SUM(E11:E45)</f>
        <v>1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</v>
      </c>
    </row>
    <row r="7" spans="1:19" x14ac:dyDescent="0.3">
      <c r="B7" s="77" t="s">
        <v>16</v>
      </c>
      <c r="C7" s="79"/>
      <c r="D7" s="49" t="s">
        <v>96</v>
      </c>
      <c r="E7" s="10">
        <f>E5-E6</f>
        <v>-1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</v>
      </c>
    </row>
    <row r="8" spans="1:19" x14ac:dyDescent="0.3">
      <c r="B8" s="49" t="s">
        <v>99</v>
      </c>
      <c r="C8" s="79">
        <f>'จัดสรร งปม.'!$B$101</f>
        <v>901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งปม.'!$C$101</f>
        <v>โครงการโรงเรียนตามรอยพระยุคลบาทฯ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งปม.'!D102</f>
        <v>0</v>
      </c>
      <c r="F5" s="10">
        <f>'จัดสรร งปม.'!E102</f>
        <v>0</v>
      </c>
      <c r="G5" s="10">
        <f>'จัดสรร งปม.'!F102</f>
        <v>0</v>
      </c>
      <c r="H5" s="10">
        <f>'จัดสรร งปม.'!G102</f>
        <v>0</v>
      </c>
      <c r="I5" s="10">
        <f>'จัดสรร งปม.'!H102</f>
        <v>0</v>
      </c>
      <c r="J5" s="10">
        <f>'จัดสรร งปม.'!I102</f>
        <v>0</v>
      </c>
      <c r="K5" s="10">
        <f>'จัดสรร งปม.'!J102</f>
        <v>0</v>
      </c>
      <c r="L5" s="10">
        <f>'จัดสรร งปม.'!K102</f>
        <v>0</v>
      </c>
      <c r="M5" s="10"/>
      <c r="N5" s="10">
        <f>'จัดสรร งปม.'!L102</f>
        <v>0</v>
      </c>
      <c r="O5" s="10"/>
      <c r="P5" s="10">
        <f>'จัดสรร งปม.'!N102</f>
        <v>65000</v>
      </c>
      <c r="Q5" s="10">
        <f>'จัดสรร งปม.'!P102</f>
        <v>0</v>
      </c>
      <c r="R5" s="10">
        <f>'จัดสรร งปม.'!Q102</f>
        <v>0</v>
      </c>
      <c r="S5" s="10">
        <f>'จัดสรร งปม.'!R102</f>
        <v>65000</v>
      </c>
    </row>
    <row r="6" spans="1:22" x14ac:dyDescent="0.3">
      <c r="D6" s="49" t="s">
        <v>94</v>
      </c>
      <c r="E6" s="10">
        <f>SUM(E11:E45)</f>
        <v>2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</v>
      </c>
    </row>
    <row r="7" spans="1:22" x14ac:dyDescent="0.3">
      <c r="B7" s="77" t="s">
        <v>16</v>
      </c>
      <c r="C7" s="79"/>
      <c r="D7" s="49" t="s">
        <v>96</v>
      </c>
      <c r="E7" s="10">
        <f>E5-E6</f>
        <v>-2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65000</v>
      </c>
      <c r="Q7" s="10">
        <f t="shared" si="1"/>
        <v>0</v>
      </c>
      <c r="R7" s="10">
        <f t="shared" si="1"/>
        <v>0</v>
      </c>
      <c r="S7" s="10">
        <f t="shared" si="1"/>
        <v>64998</v>
      </c>
    </row>
    <row r="8" spans="1:22" x14ac:dyDescent="0.3">
      <c r="B8" s="49" t="s">
        <v>99</v>
      </c>
      <c r="C8" s="79">
        <f>'จัดสรร งปม.'!$B$102</f>
        <v>902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งปม.'!$C$102</f>
        <v>โครงการพัฒนาศักยภาพผู้เรียนอาชีวศึกษาในการเป็นผู้ประกอบการ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งปม.'!D103</f>
        <v>0</v>
      </c>
      <c r="F5" s="10">
        <f>'จัดสรร งปม.'!E103</f>
        <v>0</v>
      </c>
      <c r="G5" s="10">
        <f>'จัดสรร งปม.'!F103</f>
        <v>0</v>
      </c>
      <c r="H5" s="10">
        <f>'จัดสรร งปม.'!G103</f>
        <v>0</v>
      </c>
      <c r="I5" s="10">
        <f>'จัดสรร งปม.'!H103</f>
        <v>0</v>
      </c>
      <c r="J5" s="10">
        <f>'จัดสรร งปม.'!I103</f>
        <v>0</v>
      </c>
      <c r="K5" s="10">
        <f>'จัดสรร งปม.'!J103</f>
        <v>0</v>
      </c>
      <c r="L5" s="10">
        <f>'จัดสรร งปม.'!K103</f>
        <v>0</v>
      </c>
      <c r="M5" s="10"/>
      <c r="N5" s="10">
        <f>'จัดสรร งปม.'!L103</f>
        <v>0</v>
      </c>
      <c r="O5" s="10"/>
      <c r="P5" s="10" t="str">
        <f>'จัดสรร งปม.'!N103</f>
        <v>.</v>
      </c>
      <c r="Q5" s="10">
        <f>'จัดสรร งปม.'!P103</f>
        <v>0</v>
      </c>
      <c r="R5" s="10">
        <f>'จัดสรร งปม.'!Q103</f>
        <v>0</v>
      </c>
      <c r="S5" s="10">
        <f>'จัดสรร งปม.'!R103</f>
        <v>0</v>
      </c>
    </row>
    <row r="6" spans="1:22" x14ac:dyDescent="0.3">
      <c r="D6" s="49" t="s">
        <v>94</v>
      </c>
      <c r="E6" s="10">
        <f>SUM(E11:E45)</f>
        <v>3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3</v>
      </c>
    </row>
    <row r="7" spans="1:22" x14ac:dyDescent="0.3">
      <c r="B7" s="77" t="s">
        <v>16</v>
      </c>
      <c r="C7" s="79"/>
      <c r="D7" s="49" t="s">
        <v>96</v>
      </c>
      <c r="E7" s="10">
        <f>E5-E6</f>
        <v>-3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 t="e">
        <f t="shared" si="1"/>
        <v>#VALUE!</v>
      </c>
      <c r="Q7" s="10">
        <f t="shared" si="1"/>
        <v>0</v>
      </c>
      <c r="R7" s="10">
        <f t="shared" si="1"/>
        <v>0</v>
      </c>
      <c r="S7" s="10">
        <f t="shared" si="1"/>
        <v>-3</v>
      </c>
    </row>
    <row r="8" spans="1:22" x14ac:dyDescent="0.3">
      <c r="B8" s="49" t="s">
        <v>99</v>
      </c>
      <c r="C8" s="79">
        <f>'จัดสรร งปม.'!$B$103</f>
        <v>903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งปม.'!$C$103</f>
        <v>โครงการการสร้างผู้ประกอบการใหม่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3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งปม.'!D104</f>
        <v>0</v>
      </c>
      <c r="F5" s="10">
        <f>'จัดสรร งปม.'!E104</f>
        <v>0</v>
      </c>
      <c r="G5" s="10">
        <f>'จัดสรร งปม.'!F104</f>
        <v>0</v>
      </c>
      <c r="H5" s="10">
        <f>'จัดสรร งปม.'!G104</f>
        <v>0</v>
      </c>
      <c r="I5" s="10">
        <f>'จัดสรร งปม.'!H104</f>
        <v>0</v>
      </c>
      <c r="J5" s="10">
        <f>'จัดสรร งปม.'!I104</f>
        <v>0</v>
      </c>
      <c r="K5" s="10">
        <f>'จัดสรร งปม.'!J104</f>
        <v>0</v>
      </c>
      <c r="L5" s="10">
        <f>'จัดสรร งปม.'!K104</f>
        <v>0</v>
      </c>
      <c r="M5" s="10"/>
      <c r="N5" s="10">
        <f>'จัดสรร งปม.'!L104</f>
        <v>0</v>
      </c>
      <c r="O5" s="10"/>
      <c r="P5" s="10">
        <f>'จัดสรร งปม.'!N104</f>
        <v>0</v>
      </c>
      <c r="Q5" s="10">
        <f>'จัดสรร งปม.'!P104</f>
        <v>0</v>
      </c>
      <c r="R5" s="10">
        <f>'จัดสรร งปม.'!Q104</f>
        <v>0</v>
      </c>
      <c r="S5" s="10">
        <f>'จัดสรร งปม.'!R104</f>
        <v>0</v>
      </c>
    </row>
    <row r="6" spans="1:22" x14ac:dyDescent="0.3">
      <c r="D6" s="49" t="s">
        <v>94</v>
      </c>
      <c r="E6" s="10">
        <f>SUM(E11:E45)</f>
        <v>4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4</v>
      </c>
    </row>
    <row r="7" spans="1:22" x14ac:dyDescent="0.3">
      <c r="B7" s="77" t="s">
        <v>16</v>
      </c>
      <c r="C7" s="79"/>
      <c r="D7" s="49" t="s">
        <v>96</v>
      </c>
      <c r="E7" s="10">
        <f>E5-E6</f>
        <v>-4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-4</v>
      </c>
    </row>
    <row r="8" spans="1:22" x14ac:dyDescent="0.3">
      <c r="B8" s="49" t="s">
        <v>99</v>
      </c>
      <c r="C8" s="79">
        <f>'จัดสรร งปม.'!$B$104</f>
        <v>904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งปม.'!$C$104</f>
        <v>โครงการอาชีวะอาสาร่วมด้วยช่วยประชาชน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4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9.6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งปม.'!D105</f>
        <v>0</v>
      </c>
      <c r="F5" s="10">
        <f>'จัดสรร งปม.'!E105</f>
        <v>0</v>
      </c>
      <c r="G5" s="10">
        <f>'จัดสรร งปม.'!F105</f>
        <v>0</v>
      </c>
      <c r="H5" s="10">
        <f>'จัดสรร งปม.'!G105</f>
        <v>0</v>
      </c>
      <c r="I5" s="10">
        <f>'จัดสรร งปม.'!H105</f>
        <v>0</v>
      </c>
      <c r="J5" s="10">
        <f>'จัดสรร งปม.'!I105</f>
        <v>0</v>
      </c>
      <c r="K5" s="10">
        <f>'จัดสรร งปม.'!J105</f>
        <v>0</v>
      </c>
      <c r="L5" s="10">
        <f>'จัดสรร งปม.'!K105</f>
        <v>0</v>
      </c>
      <c r="M5" s="10"/>
      <c r="N5" s="10">
        <f>'จัดสรร งปม.'!L105</f>
        <v>0</v>
      </c>
      <c r="O5" s="10">
        <f>'จัดสรร งปม.'!N105</f>
        <v>291000</v>
      </c>
      <c r="P5" s="10">
        <f>'จัดสรร งปม.'!O105</f>
        <v>0</v>
      </c>
      <c r="Q5" s="10">
        <f>'จัดสรร งปม.'!P105</f>
        <v>0</v>
      </c>
      <c r="R5" s="10">
        <f>'จัดสรร งปม.'!Q105</f>
        <v>0</v>
      </c>
      <c r="S5" s="10">
        <f>'จัดสรร งปม.'!R105</f>
        <v>291000</v>
      </c>
    </row>
    <row r="6" spans="1:22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>
        <f t="shared" ref="O6" si="1">SUM(O11:O45)</f>
        <v>62400</v>
      </c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62400</v>
      </c>
    </row>
    <row r="7" spans="1:22" x14ac:dyDescent="0.3">
      <c r="B7" s="77" t="s">
        <v>16</v>
      </c>
      <c r="C7" s="79"/>
      <c r="D7" s="49" t="s">
        <v>96</v>
      </c>
      <c r="E7" s="10">
        <f>E5-E6</f>
        <v>0</v>
      </c>
      <c r="F7" s="10">
        <f t="shared" ref="F7:S7" si="2">F5-F6</f>
        <v>0</v>
      </c>
      <c r="G7" s="10">
        <f t="shared" si="2"/>
        <v>0</v>
      </c>
      <c r="H7" s="10">
        <f t="shared" si="2"/>
        <v>0</v>
      </c>
      <c r="I7" s="10">
        <f t="shared" si="2"/>
        <v>0</v>
      </c>
      <c r="J7" s="10">
        <f t="shared" si="2"/>
        <v>0</v>
      </c>
      <c r="K7" s="10">
        <f t="shared" si="2"/>
        <v>0</v>
      </c>
      <c r="L7" s="10">
        <f t="shared" si="2"/>
        <v>0</v>
      </c>
      <c r="M7" s="10"/>
      <c r="N7" s="10">
        <f t="shared" si="2"/>
        <v>0</v>
      </c>
      <c r="O7" s="10">
        <f t="shared" ref="O7" si="3">O5-O6</f>
        <v>228600</v>
      </c>
      <c r="P7" s="10">
        <f t="shared" si="2"/>
        <v>0</v>
      </c>
      <c r="Q7" s="10">
        <f t="shared" si="2"/>
        <v>0</v>
      </c>
      <c r="R7" s="10">
        <f t="shared" si="2"/>
        <v>0</v>
      </c>
      <c r="S7" s="10">
        <f t="shared" si="2"/>
        <v>228600</v>
      </c>
    </row>
    <row r="8" spans="1:22" x14ac:dyDescent="0.3">
      <c r="B8" s="49" t="s">
        <v>99</v>
      </c>
      <c r="C8" s="79">
        <f>'จัดสรร งปม.'!$B$105</f>
        <v>905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งปม.'!$C$105</f>
        <v>โครงการศูนย์ซ่อมสร้างเพื่อชุมชน (Fix it)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x14ac:dyDescent="0.3">
      <c r="A11" s="84" t="s">
        <v>105</v>
      </c>
      <c r="B11" s="85" t="s">
        <v>354</v>
      </c>
      <c r="C11" s="86" t="s">
        <v>266</v>
      </c>
      <c r="D11" s="86" t="s">
        <v>274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>
        <v>19720</v>
      </c>
      <c r="P11" s="10"/>
      <c r="Q11" s="10"/>
      <c r="R11" s="10"/>
      <c r="S11" s="10">
        <f>SUM(E11:R11)</f>
        <v>19720</v>
      </c>
    </row>
    <row r="12" spans="1:22" x14ac:dyDescent="0.3">
      <c r="A12" s="88" t="s">
        <v>106</v>
      </c>
      <c r="B12" s="85" t="s">
        <v>354</v>
      </c>
      <c r="C12" s="86" t="s">
        <v>355</v>
      </c>
      <c r="D12" s="86" t="s">
        <v>274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10000</v>
      </c>
      <c r="P12" s="10"/>
      <c r="Q12" s="10"/>
      <c r="R12" s="10"/>
      <c r="S12" s="10">
        <f t="shared" ref="S12:S45" si="4">SUM(E12:R12)</f>
        <v>10000</v>
      </c>
      <c r="V12" s="114"/>
    </row>
    <row r="13" spans="1:22" x14ac:dyDescent="0.3">
      <c r="A13" s="88" t="s">
        <v>107</v>
      </c>
      <c r="B13" s="85" t="s">
        <v>354</v>
      </c>
      <c r="C13" s="86" t="s">
        <v>355</v>
      </c>
      <c r="D13" s="86" t="s">
        <v>274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20920</v>
      </c>
      <c r="P13" s="10"/>
      <c r="Q13" s="10"/>
      <c r="R13" s="10"/>
      <c r="S13" s="10">
        <f t="shared" si="4"/>
        <v>20920</v>
      </c>
    </row>
    <row r="14" spans="1:22" x14ac:dyDescent="0.3">
      <c r="A14" s="88" t="s">
        <v>108</v>
      </c>
      <c r="B14" s="85" t="s">
        <v>354</v>
      </c>
      <c r="C14" s="86" t="s">
        <v>266</v>
      </c>
      <c r="D14" s="86" t="s">
        <v>274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>
        <v>1200</v>
      </c>
      <c r="P14" s="10"/>
      <c r="Q14" s="10"/>
      <c r="R14" s="10"/>
      <c r="S14" s="10">
        <f t="shared" si="4"/>
        <v>1200</v>
      </c>
    </row>
    <row r="15" spans="1:22" x14ac:dyDescent="0.3">
      <c r="A15" s="88" t="s">
        <v>109</v>
      </c>
      <c r="B15" s="85" t="s">
        <v>356</v>
      </c>
      <c r="C15" s="86" t="s">
        <v>266</v>
      </c>
      <c r="D15" s="86" t="s">
        <v>274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>
        <v>9840</v>
      </c>
      <c r="P15" s="92" t="s">
        <v>357</v>
      </c>
      <c r="Q15" s="10"/>
      <c r="R15" s="10"/>
      <c r="S15" s="10">
        <f t="shared" si="4"/>
        <v>9840</v>
      </c>
    </row>
    <row r="16" spans="1:22" x14ac:dyDescent="0.3">
      <c r="A16" s="88" t="s">
        <v>110</v>
      </c>
      <c r="B16" s="85" t="s">
        <v>367</v>
      </c>
      <c r="C16" s="86" t="s">
        <v>370</v>
      </c>
      <c r="D16" s="86" t="s">
        <v>274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720</v>
      </c>
      <c r="P16" s="10"/>
      <c r="Q16" s="10"/>
      <c r="R16" s="10"/>
      <c r="S16" s="10">
        <f t="shared" si="4"/>
        <v>720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4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4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4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4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4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4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4"/>
        <v>0</v>
      </c>
    </row>
    <row r="24" spans="1:19" ht="21.75" x14ac:dyDescent="0.5">
      <c r="A24" s="42" t="s">
        <v>118</v>
      </c>
      <c r="B24" s="85"/>
      <c r="C24" s="86"/>
      <c r="D24" s="8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4"/>
        <v>0</v>
      </c>
    </row>
    <row r="25" spans="1:19" ht="21.75" x14ac:dyDescent="0.5">
      <c r="A25" s="42" t="s">
        <v>119</v>
      </c>
      <c r="B25" s="85"/>
      <c r="C25" s="86"/>
      <c r="D25" s="8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4"/>
        <v>0</v>
      </c>
    </row>
    <row r="26" spans="1:19" ht="21.75" x14ac:dyDescent="0.5">
      <c r="A26" s="42" t="s">
        <v>120</v>
      </c>
      <c r="B26" s="85"/>
      <c r="C26" s="86"/>
      <c r="D26" s="8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4"/>
        <v>0</v>
      </c>
    </row>
    <row r="27" spans="1:19" ht="21.75" x14ac:dyDescent="0.5">
      <c r="A27" s="42" t="s">
        <v>121</v>
      </c>
      <c r="B27" s="85"/>
      <c r="C27" s="86"/>
      <c r="D27" s="8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4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4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4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4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4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4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4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4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4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4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4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4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4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4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4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4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4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4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4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  <hyperlink ref="A15" r:id="rId5"/>
    <hyperlink ref="A16" r:id="rId6"/>
  </hyperlinks>
  <pageMargins left="0.7" right="0.7" top="0.75" bottom="0.75" header="0.3" footer="0.3"/>
  <pageSetup paperSize="9" orientation="portrait" r:id="rId7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sqref="A1:B1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37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งปม.'!D106</f>
        <v>0</v>
      </c>
      <c r="F5" s="10">
        <f>'จัดสรร งปม.'!E106</f>
        <v>0</v>
      </c>
      <c r="G5" s="10">
        <f>'จัดสรร งปม.'!F106</f>
        <v>0</v>
      </c>
      <c r="H5" s="10">
        <f>'จัดสรร งปม.'!G106</f>
        <v>0</v>
      </c>
      <c r="I5" s="10">
        <f>'จัดสรร งปม.'!H106</f>
        <v>0</v>
      </c>
      <c r="J5" s="10">
        <f>'จัดสรร งปม.'!I106</f>
        <v>0</v>
      </c>
      <c r="K5" s="10">
        <f>'จัดสรร งปม.'!J106</f>
        <v>0</v>
      </c>
      <c r="L5" s="10">
        <f>'จัดสรร งปม.'!K106</f>
        <v>0</v>
      </c>
      <c r="M5" s="10"/>
      <c r="N5" s="10">
        <f>'จัดสรร งปม.'!M106</f>
        <v>85000</v>
      </c>
      <c r="O5" s="10"/>
      <c r="P5" s="10">
        <f>'จัดสรร งปม.'!N106</f>
        <v>0</v>
      </c>
      <c r="Q5" s="10">
        <f>'จัดสรร งปม.'!P106</f>
        <v>0</v>
      </c>
      <c r="R5" s="10">
        <f>'จัดสรร งปม.'!Q106</f>
        <v>0</v>
      </c>
      <c r="S5" s="10">
        <f>'จัดสรร งปม.'!R106</f>
        <v>85000</v>
      </c>
    </row>
    <row r="6" spans="1:22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85000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85000</v>
      </c>
    </row>
    <row r="7" spans="1:22" x14ac:dyDescent="0.3">
      <c r="B7" s="77" t="s">
        <v>16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22" x14ac:dyDescent="0.3">
      <c r="B8" s="49" t="s">
        <v>99</v>
      </c>
      <c r="C8" s="79">
        <f>'จัดสรร งปม.'!$B$106</f>
        <v>906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งปม.'!$C$106</f>
        <v>โครงการทุนเฉลิมราชกุมารี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x14ac:dyDescent="0.3">
      <c r="A11" s="84" t="s">
        <v>105</v>
      </c>
      <c r="B11" s="85" t="s">
        <v>390</v>
      </c>
      <c r="C11" s="86" t="s">
        <v>298</v>
      </c>
      <c r="D11" s="86" t="s">
        <v>391</v>
      </c>
      <c r="E11" s="10"/>
      <c r="F11" s="10"/>
      <c r="G11" s="10"/>
      <c r="H11" s="10"/>
      <c r="I11" s="10"/>
      <c r="J11" s="10"/>
      <c r="K11" s="10"/>
      <c r="L11" s="10"/>
      <c r="M11" s="10"/>
      <c r="N11" s="10">
        <v>85000</v>
      </c>
      <c r="O11" s="10"/>
      <c r="P11" s="10"/>
      <c r="Q11" s="10"/>
      <c r="R11" s="10"/>
      <c r="S11" s="10">
        <f>SUM(E11:R11)</f>
        <v>85000</v>
      </c>
    </row>
    <row r="12" spans="1:22" ht="21.75" x14ac:dyDescent="0.5">
      <c r="A12" s="42" t="s">
        <v>106</v>
      </c>
      <c r="B12" s="85"/>
      <c r="C12" s="86"/>
      <c r="D12" s="8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5"/>
      <c r="C13" s="86"/>
      <c r="D13" s="8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5"/>
      <c r="C14" s="86"/>
      <c r="D14" s="86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5"/>
      <c r="C15" s="86"/>
      <c r="D15" s="8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5"/>
      <c r="C16" s="86"/>
      <c r="D16" s="8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5"/>
      <c r="C17" s="86"/>
      <c r="D17" s="8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5"/>
      <c r="C18" s="86"/>
      <c r="D18" s="8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5"/>
      <c r="C19" s="86"/>
      <c r="D19" s="8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5"/>
      <c r="C20" s="86"/>
      <c r="D20" s="8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5"/>
      <c r="C21" s="86"/>
      <c r="D21" s="8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5"/>
      <c r="C22" s="86"/>
      <c r="D22" s="8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5"/>
      <c r="C23" s="86"/>
      <c r="D23" s="8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งปม.'!D107</f>
        <v>0</v>
      </c>
      <c r="F5" s="10">
        <f>'จัดสรร งปม.'!E107</f>
        <v>0</v>
      </c>
      <c r="G5" s="10">
        <f>'จัดสรร งปม.'!F107</f>
        <v>0</v>
      </c>
      <c r="H5" s="10">
        <f>'จัดสรร งปม.'!G107</f>
        <v>0</v>
      </c>
      <c r="I5" s="10">
        <f>'จัดสรร งปม.'!H107</f>
        <v>0</v>
      </c>
      <c r="J5" s="10">
        <f>'จัดสรร งปม.'!I107</f>
        <v>0</v>
      </c>
      <c r="K5" s="10">
        <f>'จัดสรร งปม.'!J107</f>
        <v>0</v>
      </c>
      <c r="L5" s="10">
        <f>'จัดสรร งปม.'!K107</f>
        <v>0</v>
      </c>
      <c r="M5" s="10"/>
      <c r="N5" s="10">
        <f>'จัดสรร งปม.'!L107</f>
        <v>0</v>
      </c>
      <c r="O5" s="10"/>
      <c r="P5" s="10">
        <f>'จัดสรร งปม.'!N107</f>
        <v>0</v>
      </c>
      <c r="Q5" s="10">
        <f>'จัดสรร งปม.'!P107</f>
        <v>0</v>
      </c>
      <c r="R5" s="10">
        <f>'จัดสรร งปม.'!Q107</f>
        <v>0</v>
      </c>
      <c r="S5" s="10">
        <f>'จัดสรร งปม.'!R107</f>
        <v>0</v>
      </c>
    </row>
    <row r="6" spans="1:22" x14ac:dyDescent="0.3">
      <c r="D6" s="49" t="s">
        <v>94</v>
      </c>
      <c r="E6" s="10">
        <f>SUM(E11:E45)</f>
        <v>7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7</v>
      </c>
    </row>
    <row r="7" spans="1:22" x14ac:dyDescent="0.3">
      <c r="B7" s="77" t="s">
        <v>16</v>
      </c>
      <c r="C7" s="79"/>
      <c r="D7" s="49" t="s">
        <v>96</v>
      </c>
      <c r="E7" s="10">
        <f>E5-E6</f>
        <v>-7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-7</v>
      </c>
    </row>
    <row r="8" spans="1:22" x14ac:dyDescent="0.3">
      <c r="B8" s="49" t="s">
        <v>99</v>
      </c>
      <c r="C8" s="79">
        <f>'จัดสรร งปม.'!$B$107</f>
        <v>907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งปม.'!$C$107</f>
        <v>โครงการสิ่งประดิษฐ์ของคนรุ่นใหม่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7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งปม.'!D108</f>
        <v>0</v>
      </c>
      <c r="F5" s="10">
        <f>'จัดสรร งปม.'!E108</f>
        <v>0</v>
      </c>
      <c r="G5" s="10">
        <f>'จัดสรร งปม.'!F108</f>
        <v>0</v>
      </c>
      <c r="H5" s="10">
        <f>'จัดสรร งปม.'!G108</f>
        <v>0</v>
      </c>
      <c r="I5" s="10">
        <f>'จัดสรร งปม.'!H108</f>
        <v>0</v>
      </c>
      <c r="J5" s="10">
        <f>'จัดสรร งปม.'!I108</f>
        <v>0</v>
      </c>
      <c r="K5" s="10">
        <f>'จัดสรร งปม.'!J108</f>
        <v>0</v>
      </c>
      <c r="L5" s="10">
        <f>'จัดสรร งปม.'!K108</f>
        <v>0</v>
      </c>
      <c r="M5" s="10"/>
      <c r="N5" s="10">
        <f>'จัดสรร งปม.'!L108</f>
        <v>0</v>
      </c>
      <c r="O5" s="10"/>
      <c r="P5" s="10">
        <f>'จัดสรร งปม.'!N108</f>
        <v>0</v>
      </c>
      <c r="Q5" s="10">
        <f>'จัดสรร งปม.'!P108</f>
        <v>0</v>
      </c>
      <c r="R5" s="10">
        <f>'จัดสรร งปม.'!Q108</f>
        <v>0</v>
      </c>
      <c r="S5" s="10">
        <f>'จัดสรร งปม.'!R108</f>
        <v>0</v>
      </c>
    </row>
    <row r="6" spans="1:22" x14ac:dyDescent="0.3">
      <c r="D6" s="49" t="s">
        <v>94</v>
      </c>
      <c r="E6" s="10">
        <f>SUM(E11:E45)</f>
        <v>8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8</v>
      </c>
    </row>
    <row r="7" spans="1:22" x14ac:dyDescent="0.3">
      <c r="B7" s="77" t="s">
        <v>16</v>
      </c>
      <c r="C7" s="79"/>
      <c r="D7" s="49" t="s">
        <v>96</v>
      </c>
      <c r="E7" s="10">
        <f>E5-E6</f>
        <v>-8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-8</v>
      </c>
    </row>
    <row r="8" spans="1:22" x14ac:dyDescent="0.3">
      <c r="B8" s="49" t="s">
        <v>99</v>
      </c>
      <c r="C8" s="79">
        <f>'จัดสรร งปม.'!$B$108</f>
        <v>908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งปม.'!$C$108</f>
        <v>โครงการลดจำนวนการออกกลางคัน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8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งปม.'!D109</f>
        <v>0</v>
      </c>
      <c r="F5" s="10">
        <f>'จัดสรร งปม.'!E109</f>
        <v>0</v>
      </c>
      <c r="G5" s="10">
        <f>'จัดสรร งปม.'!F109</f>
        <v>0</v>
      </c>
      <c r="H5" s="10">
        <f>'จัดสรร งปม.'!G109</f>
        <v>0</v>
      </c>
      <c r="I5" s="10">
        <f>'จัดสรร งปม.'!H109</f>
        <v>0</v>
      </c>
      <c r="J5" s="10">
        <f>'จัดสรร งปม.'!I109</f>
        <v>0</v>
      </c>
      <c r="K5" s="10">
        <f>'จัดสรร งปม.'!J109</f>
        <v>0</v>
      </c>
      <c r="L5" s="10">
        <f>'จัดสรร งปม.'!K109</f>
        <v>0</v>
      </c>
      <c r="M5" s="10"/>
      <c r="N5" s="10">
        <f>'จัดสรร งปม.'!L109</f>
        <v>0</v>
      </c>
      <c r="O5" s="10"/>
      <c r="P5" s="10">
        <f>'จัดสรร งปม.'!N109</f>
        <v>0</v>
      </c>
      <c r="Q5" s="10">
        <f>'จัดสรร งปม.'!P109</f>
        <v>0</v>
      </c>
      <c r="R5" s="10">
        <f>'จัดสรร งปม.'!Q109</f>
        <v>0</v>
      </c>
      <c r="S5" s="10">
        <f>'จัดสรร งปม.'!R109</f>
        <v>0</v>
      </c>
    </row>
    <row r="6" spans="1:22" x14ac:dyDescent="0.3">
      <c r="D6" s="49" t="s">
        <v>94</v>
      </c>
      <c r="E6" s="10">
        <f>SUM(E11:E45)</f>
        <v>9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9</v>
      </c>
    </row>
    <row r="7" spans="1:22" x14ac:dyDescent="0.3">
      <c r="B7" s="77" t="s">
        <v>16</v>
      </c>
      <c r="C7" s="79"/>
      <c r="D7" s="49" t="s">
        <v>96</v>
      </c>
      <c r="E7" s="10">
        <f>E5-E6</f>
        <v>-9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-9</v>
      </c>
    </row>
    <row r="8" spans="1:22" x14ac:dyDescent="0.3">
      <c r="B8" s="49" t="s">
        <v>99</v>
      </c>
      <c r="C8" s="79">
        <f>'จัดสรร งปม.'!$B$109</f>
        <v>909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งปม.'!$C$109</f>
        <v>โครงการโรงเรียนเศรษฐกิจพอเพียง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9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งปม.'!D110</f>
        <v>0</v>
      </c>
      <c r="F5" s="10">
        <f>'จัดสรร งปม.'!E110</f>
        <v>0</v>
      </c>
      <c r="G5" s="10">
        <f>'จัดสรร งปม.'!F110</f>
        <v>0</v>
      </c>
      <c r="H5" s="10">
        <f>'จัดสรร งปม.'!G110</f>
        <v>0</v>
      </c>
      <c r="I5" s="10">
        <f>'จัดสรร งปม.'!H110</f>
        <v>0</v>
      </c>
      <c r="J5" s="10">
        <f>'จัดสรร งปม.'!I110</f>
        <v>0</v>
      </c>
      <c r="K5" s="10">
        <f>'จัดสรร งปม.'!J110</f>
        <v>0</v>
      </c>
      <c r="L5" s="10">
        <f>'จัดสรร งปม.'!K110</f>
        <v>0</v>
      </c>
      <c r="M5" s="10"/>
      <c r="N5" s="10">
        <f>'จัดสรร งปม.'!L110</f>
        <v>0</v>
      </c>
      <c r="O5" s="10"/>
      <c r="P5" s="10">
        <f>'จัดสรร งปม.'!N110</f>
        <v>0</v>
      </c>
      <c r="Q5" s="10">
        <f>'จัดสรร งปม.'!P110</f>
        <v>0</v>
      </c>
      <c r="R5" s="10">
        <f>'จัดสรร งปม.'!Q110</f>
        <v>0</v>
      </c>
      <c r="S5" s="10">
        <f>'จัดสรร งปม.'!R110</f>
        <v>0</v>
      </c>
    </row>
    <row r="6" spans="1:22" x14ac:dyDescent="0.3">
      <c r="D6" s="49" t="s">
        <v>94</v>
      </c>
      <c r="E6" s="10">
        <f>SUM(E11:E45)</f>
        <v>10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10</v>
      </c>
    </row>
    <row r="7" spans="1:22" x14ac:dyDescent="0.3">
      <c r="B7" s="77" t="s">
        <v>16</v>
      </c>
      <c r="C7" s="79"/>
      <c r="D7" s="49" t="s">
        <v>96</v>
      </c>
      <c r="E7" s="10">
        <f>E5-E6</f>
        <v>-10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-10</v>
      </c>
    </row>
    <row r="8" spans="1:22" x14ac:dyDescent="0.3">
      <c r="B8" s="49" t="s">
        <v>99</v>
      </c>
      <c r="C8" s="79">
        <f>'จัดสรร งปม.'!$B$110</f>
        <v>910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งปม.'!$C$110</f>
        <v>โครงการป้องกันปัญหายาเสพติด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10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งปม.'!D111</f>
        <v>0</v>
      </c>
      <c r="F5" s="10">
        <f>'จัดสรร งปม.'!E111</f>
        <v>0</v>
      </c>
      <c r="G5" s="10">
        <f>'จัดสรร งปม.'!F111</f>
        <v>0</v>
      </c>
      <c r="H5" s="10">
        <f>'จัดสรร งปม.'!G111</f>
        <v>0</v>
      </c>
      <c r="I5" s="10">
        <f>'จัดสรร งปม.'!H111</f>
        <v>0</v>
      </c>
      <c r="J5" s="10">
        <f>'จัดสรร งปม.'!I111</f>
        <v>0</v>
      </c>
      <c r="K5" s="10">
        <f>'จัดสรร งปม.'!J111</f>
        <v>0</v>
      </c>
      <c r="L5" s="10">
        <f>'จัดสรร งปม.'!K111</f>
        <v>0</v>
      </c>
      <c r="M5" s="10"/>
      <c r="N5" s="10">
        <f>'จัดสรร งปม.'!L111</f>
        <v>0</v>
      </c>
      <c r="O5" s="10"/>
      <c r="P5" s="10">
        <f>'จัดสรร งปม.'!N111</f>
        <v>58800</v>
      </c>
      <c r="Q5" s="10">
        <f>'จัดสรร งปม.'!P111</f>
        <v>0</v>
      </c>
      <c r="R5" s="10">
        <f>'จัดสรร งปม.'!Q111</f>
        <v>0</v>
      </c>
      <c r="S5" s="10">
        <f>'จัดสรร งปม.'!R111</f>
        <v>58800</v>
      </c>
    </row>
    <row r="6" spans="1:22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58800</v>
      </c>
      <c r="Q6" s="10">
        <f t="shared" si="0"/>
        <v>0</v>
      </c>
      <c r="R6" s="10">
        <f t="shared" si="0"/>
        <v>0</v>
      </c>
      <c r="S6" s="10">
        <f t="shared" si="0"/>
        <v>58800</v>
      </c>
    </row>
    <row r="7" spans="1:22" x14ac:dyDescent="0.3">
      <c r="B7" s="77" t="s">
        <v>16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22" x14ac:dyDescent="0.3">
      <c r="B8" s="49" t="s">
        <v>99</v>
      </c>
      <c r="C8" s="79">
        <f>'จัดสรร งปม.'!$B$111</f>
        <v>911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งปม.'!$C$111</f>
        <v>โครงการคืนครูให้นักเรียน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x14ac:dyDescent="0.3">
      <c r="A11" s="84" t="s">
        <v>105</v>
      </c>
      <c r="B11" s="42" t="s">
        <v>287</v>
      </c>
      <c r="C11" s="90" t="s">
        <v>248</v>
      </c>
      <c r="D11" s="90" t="s">
        <v>240</v>
      </c>
      <c r="E11" s="91"/>
      <c r="F11" s="91"/>
      <c r="G11" s="91"/>
      <c r="H11" s="10"/>
      <c r="I11" s="10"/>
      <c r="J11" s="10"/>
      <c r="K11" s="10"/>
      <c r="L11" s="10"/>
      <c r="M11" s="10"/>
      <c r="N11" s="10"/>
      <c r="O11" s="10"/>
      <c r="P11" s="10">
        <v>29400</v>
      </c>
      <c r="Q11" s="10"/>
      <c r="R11" s="10"/>
      <c r="S11" s="10">
        <f>SUM(E11:R11)</f>
        <v>29400</v>
      </c>
    </row>
    <row r="12" spans="1:22" x14ac:dyDescent="0.3">
      <c r="A12" s="88" t="s">
        <v>106</v>
      </c>
      <c r="B12" s="42" t="s">
        <v>246</v>
      </c>
      <c r="C12" s="90" t="s">
        <v>248</v>
      </c>
      <c r="D12" s="90" t="s">
        <v>240</v>
      </c>
      <c r="E12" s="91"/>
      <c r="F12" s="91"/>
      <c r="G12" s="91"/>
      <c r="H12" s="10"/>
      <c r="I12" s="10"/>
      <c r="J12" s="10"/>
      <c r="K12" s="10"/>
      <c r="L12" s="10"/>
      <c r="M12" s="10"/>
      <c r="N12" s="10"/>
      <c r="O12" s="10"/>
      <c r="P12" s="10">
        <v>9800</v>
      </c>
      <c r="Q12" s="10"/>
      <c r="R12" s="10"/>
      <c r="S12" s="10">
        <f t="shared" ref="S12:S45" si="2">SUM(E12:R12)</f>
        <v>9800</v>
      </c>
      <c r="V12" s="113"/>
    </row>
    <row r="13" spans="1:22" x14ac:dyDescent="0.3">
      <c r="A13" s="88" t="s">
        <v>107</v>
      </c>
      <c r="B13" s="42" t="s">
        <v>289</v>
      </c>
      <c r="C13" s="90" t="s">
        <v>248</v>
      </c>
      <c r="D13" s="90" t="s">
        <v>240</v>
      </c>
      <c r="E13" s="91"/>
      <c r="F13" s="91"/>
      <c r="G13" s="91"/>
      <c r="H13" s="10"/>
      <c r="I13" s="10"/>
      <c r="J13" s="10"/>
      <c r="K13" s="10"/>
      <c r="L13" s="10"/>
      <c r="M13" s="10"/>
      <c r="N13" s="10"/>
      <c r="O13" s="10"/>
      <c r="P13" s="10">
        <v>9800</v>
      </c>
      <c r="Q13" s="10"/>
      <c r="R13" s="10"/>
      <c r="S13" s="10">
        <f t="shared" si="2"/>
        <v>9800</v>
      </c>
    </row>
    <row r="14" spans="1:22" x14ac:dyDescent="0.3">
      <c r="A14" s="88" t="s">
        <v>108</v>
      </c>
      <c r="B14" s="42" t="s">
        <v>373</v>
      </c>
      <c r="C14" s="90" t="s">
        <v>248</v>
      </c>
      <c r="D14" s="90" t="s">
        <v>240</v>
      </c>
      <c r="E14" s="91"/>
      <c r="F14" s="91"/>
      <c r="G14" s="91"/>
      <c r="H14" s="10"/>
      <c r="I14" s="10"/>
      <c r="J14" s="10"/>
      <c r="K14" s="10"/>
      <c r="L14" s="10"/>
      <c r="M14" s="10"/>
      <c r="N14" s="10"/>
      <c r="O14" s="10"/>
      <c r="P14" s="10">
        <v>9800</v>
      </c>
      <c r="Q14" s="10"/>
      <c r="R14" s="10"/>
      <c r="S14" s="10">
        <f t="shared" si="2"/>
        <v>9800</v>
      </c>
    </row>
    <row r="15" spans="1:22" ht="21.75" x14ac:dyDescent="0.5">
      <c r="A15" s="42" t="s">
        <v>109</v>
      </c>
      <c r="B15" s="42"/>
      <c r="C15" s="90"/>
      <c r="D15" s="90"/>
      <c r="E15" s="91"/>
      <c r="F15" s="91"/>
      <c r="G15" s="9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42"/>
      <c r="C16" s="90"/>
      <c r="D16" s="90"/>
      <c r="E16" s="91"/>
      <c r="F16" s="91"/>
      <c r="G16" s="9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90"/>
      <c r="D17" s="90"/>
      <c r="E17" s="91"/>
      <c r="F17" s="91"/>
      <c r="G17" s="9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90"/>
      <c r="D18" s="90"/>
      <c r="E18" s="91"/>
      <c r="F18" s="91"/>
      <c r="G18" s="9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90"/>
      <c r="D19" s="90"/>
      <c r="E19" s="91"/>
      <c r="F19" s="91"/>
      <c r="G19" s="9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90"/>
      <c r="D20" s="90"/>
      <c r="E20" s="91"/>
      <c r="F20" s="91"/>
      <c r="G20" s="9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90"/>
      <c r="D21" s="90"/>
      <c r="E21" s="91"/>
      <c r="F21" s="91"/>
      <c r="G21" s="9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90"/>
      <c r="D22" s="90"/>
      <c r="E22" s="91"/>
      <c r="F22" s="91"/>
      <c r="G22" s="9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90"/>
      <c r="D23" s="90"/>
      <c r="E23" s="91"/>
      <c r="F23" s="91"/>
      <c r="G23" s="9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  <hyperlink ref="A13" r:id="rId3"/>
    <hyperlink ref="A14" r:id="rId4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8.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งปม.'!D112</f>
        <v>0</v>
      </c>
      <c r="F5" s="10">
        <f>'จัดสรร งปม.'!E112</f>
        <v>0</v>
      </c>
      <c r="G5" s="10">
        <f>'จัดสรร งปม.'!F112</f>
        <v>0</v>
      </c>
      <c r="H5" s="10">
        <f>'จัดสรร งปม.'!G112</f>
        <v>0</v>
      </c>
      <c r="I5" s="10">
        <f>'จัดสรร งปม.'!H112</f>
        <v>0</v>
      </c>
      <c r="J5" s="10">
        <f>'จัดสรร งปม.'!I112</f>
        <v>0</v>
      </c>
      <c r="K5" s="10">
        <f>'จัดสรร งปม.'!J112</f>
        <v>0</v>
      </c>
      <c r="L5" s="10">
        <f>'จัดสรร งปม.'!K112</f>
        <v>0</v>
      </c>
      <c r="M5" s="10"/>
      <c r="N5" s="10">
        <f>'จัดสรร งปม.'!L112</f>
        <v>0</v>
      </c>
      <c r="O5" s="10"/>
      <c r="P5" s="10">
        <f>'จัดสรร งปม.'!N112</f>
        <v>94800</v>
      </c>
      <c r="Q5" s="10">
        <f>'จัดสรร งปม.'!P112</f>
        <v>0</v>
      </c>
      <c r="R5" s="10">
        <f>'จัดสรร งปม.'!Q112</f>
        <v>0</v>
      </c>
      <c r="S5" s="10">
        <f>'จัดสรร งปม.'!R112</f>
        <v>94800</v>
      </c>
    </row>
    <row r="6" spans="1:22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94800</v>
      </c>
      <c r="Q6" s="10">
        <f t="shared" si="0"/>
        <v>0</v>
      </c>
      <c r="R6" s="10">
        <f t="shared" si="0"/>
        <v>0</v>
      </c>
      <c r="S6" s="10">
        <f t="shared" si="0"/>
        <v>94800</v>
      </c>
    </row>
    <row r="7" spans="1:22" x14ac:dyDescent="0.3">
      <c r="B7" s="77" t="s">
        <v>16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</row>
    <row r="8" spans="1:22" x14ac:dyDescent="0.3">
      <c r="B8" s="49" t="s">
        <v>99</v>
      </c>
      <c r="C8" s="79">
        <f>'จัดสรร งปม.'!$B$112</f>
        <v>912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งปม.'!$C$112</f>
        <v>โครงการเร่งประสิทธิภาพครู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x14ac:dyDescent="0.3">
      <c r="A11" s="84" t="s">
        <v>105</v>
      </c>
      <c r="B11" s="42" t="s">
        <v>373</v>
      </c>
      <c r="C11" s="44" t="s">
        <v>239</v>
      </c>
      <c r="D11" s="123" t="s">
        <v>240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79000</v>
      </c>
      <c r="Q11" s="10"/>
      <c r="R11" s="10"/>
      <c r="S11" s="10">
        <f>SUM(E11:R11)</f>
        <v>79000</v>
      </c>
    </row>
    <row r="12" spans="1:22" x14ac:dyDescent="0.3">
      <c r="A12" s="88" t="s">
        <v>106</v>
      </c>
      <c r="B12" s="42" t="s">
        <v>373</v>
      </c>
      <c r="C12" s="44" t="s">
        <v>239</v>
      </c>
      <c r="D12" s="123" t="s">
        <v>240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15800</v>
      </c>
      <c r="Q12" s="10"/>
      <c r="R12" s="10"/>
      <c r="S12" s="10">
        <f t="shared" ref="S12:S45" si="2">SUM(E12:R12)</f>
        <v>15800</v>
      </c>
      <c r="V12" s="113"/>
    </row>
    <row r="13" spans="1:22" ht="21.75" x14ac:dyDescent="0.5">
      <c r="A13" s="42" t="s">
        <v>107</v>
      </c>
      <c r="B13" s="42"/>
      <c r="C13" s="44"/>
      <c r="D13" s="123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42"/>
      <c r="C14" s="44"/>
      <c r="D14" s="12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42"/>
      <c r="C15" s="44"/>
      <c r="D15" s="12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42"/>
      <c r="C16" s="44"/>
      <c r="D16" s="12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42"/>
      <c r="C17" s="44"/>
      <c r="D17" s="12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42"/>
      <c r="C18" s="44"/>
      <c r="D18" s="12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42"/>
      <c r="C19" s="44"/>
      <c r="D19" s="123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42"/>
      <c r="C20" s="44"/>
      <c r="D20" s="12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42"/>
      <c r="C21" s="44"/>
      <c r="D21" s="123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42"/>
      <c r="C22" s="44"/>
      <c r="D22" s="12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42"/>
      <c r="C23" s="44"/>
      <c r="D23" s="123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12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12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  <hyperlink ref="A11" r:id="rId1"/>
    <hyperlink ref="A12" r:id="rId2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งปม.'!D113</f>
        <v>0</v>
      </c>
      <c r="F5" s="10">
        <f>'จัดสรร งปม.'!E113</f>
        <v>0</v>
      </c>
      <c r="G5" s="10">
        <f>'จัดสรร งปม.'!F113</f>
        <v>0</v>
      </c>
      <c r="H5" s="10">
        <f>'จัดสรร งปม.'!G113</f>
        <v>0</v>
      </c>
      <c r="I5" s="10">
        <f>'จัดสรร งปม.'!H113</f>
        <v>0</v>
      </c>
      <c r="J5" s="10">
        <f>'จัดสรร งปม.'!I113</f>
        <v>0</v>
      </c>
      <c r="K5" s="10">
        <f>'จัดสรร งปม.'!J113</f>
        <v>0</v>
      </c>
      <c r="L5" s="10">
        <f>'จัดสรร งปม.'!K113</f>
        <v>0</v>
      </c>
      <c r="M5" s="10"/>
      <c r="N5" s="10">
        <f>'จัดสรร งปม.'!L113</f>
        <v>0</v>
      </c>
      <c r="O5" s="10"/>
      <c r="P5" s="10">
        <f>'จัดสรร งปม.'!N113</f>
        <v>89900</v>
      </c>
      <c r="Q5" s="10">
        <f>'จัดสรร งปม.'!P113</f>
        <v>0</v>
      </c>
      <c r="R5" s="10">
        <f>'จัดสรร งปม.'!Q113</f>
        <v>0</v>
      </c>
      <c r="S5" s="10">
        <f>'จัดสรร งปม.'!R113</f>
        <v>89900</v>
      </c>
    </row>
    <row r="6" spans="1:22" x14ac:dyDescent="0.3">
      <c r="D6" s="49" t="s">
        <v>94</v>
      </c>
      <c r="E6" s="10">
        <f>SUM(E11:E45)</f>
        <v>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</row>
    <row r="7" spans="1:22" x14ac:dyDescent="0.3">
      <c r="B7" s="77" t="s">
        <v>16</v>
      </c>
      <c r="C7" s="79"/>
      <c r="D7" s="49" t="s">
        <v>96</v>
      </c>
      <c r="E7" s="10">
        <f>E5-E6</f>
        <v>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89900</v>
      </c>
      <c r="Q7" s="10">
        <f t="shared" si="1"/>
        <v>0</v>
      </c>
      <c r="R7" s="10">
        <f t="shared" si="1"/>
        <v>0</v>
      </c>
      <c r="S7" s="10">
        <f t="shared" si="1"/>
        <v>89900</v>
      </c>
    </row>
    <row r="8" spans="1:22" x14ac:dyDescent="0.3">
      <c r="B8" s="49" t="s">
        <v>99</v>
      </c>
      <c r="C8" s="79">
        <f>'จัดสรร งปม.'!$B$113</f>
        <v>913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งปม.'!$C$113</f>
        <v>โครงการจัดการศึกษาเรียนร่วมหลักสูตรอาชีวศึกษา ทวิศึกษา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0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งปม.'!D114</f>
        <v>0</v>
      </c>
      <c r="F5" s="10">
        <f>'จัดสรร งปม.'!E114</f>
        <v>0</v>
      </c>
      <c r="G5" s="10">
        <f>'จัดสรร งปม.'!F114</f>
        <v>0</v>
      </c>
      <c r="H5" s="10">
        <f>'จัดสรร งปม.'!G114</f>
        <v>0</v>
      </c>
      <c r="I5" s="10">
        <f>'จัดสรร งปม.'!H114</f>
        <v>0</v>
      </c>
      <c r="J5" s="10">
        <f>'จัดสรร งปม.'!I114</f>
        <v>0</v>
      </c>
      <c r="K5" s="10">
        <f>'จัดสรร งปม.'!J114</f>
        <v>0</v>
      </c>
      <c r="L5" s="10">
        <f>'จัดสรร งปม.'!K114</f>
        <v>0</v>
      </c>
      <c r="M5" s="10"/>
      <c r="N5" s="10">
        <f>'จัดสรร งปม.'!L114</f>
        <v>0</v>
      </c>
      <c r="O5" s="10"/>
      <c r="P5" s="10">
        <f>'จัดสรร งปม.'!N114</f>
        <v>0</v>
      </c>
      <c r="Q5" s="10">
        <f>'จัดสรร งปม.'!P114</f>
        <v>0</v>
      </c>
      <c r="R5" s="10">
        <f>'จัดสรร งปม.'!Q114</f>
        <v>0</v>
      </c>
      <c r="S5" s="10">
        <f>'จัดสรร งปม.'!R114</f>
        <v>0</v>
      </c>
    </row>
    <row r="6" spans="1:22" x14ac:dyDescent="0.3">
      <c r="D6" s="49" t="s">
        <v>94</v>
      </c>
      <c r="E6" s="10">
        <f>SUM(E11:E45)</f>
        <v>14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14</v>
      </c>
    </row>
    <row r="7" spans="1:22" x14ac:dyDescent="0.3">
      <c r="B7" s="77" t="s">
        <v>16</v>
      </c>
      <c r="C7" s="79"/>
      <c r="D7" s="49" t="s">
        <v>96</v>
      </c>
      <c r="E7" s="10">
        <f>E5-E6</f>
        <v>-14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-14</v>
      </c>
    </row>
    <row r="8" spans="1:22" x14ac:dyDescent="0.3">
      <c r="B8" s="49" t="s">
        <v>99</v>
      </c>
      <c r="C8" s="79">
        <f>'จัดสรร งปม.'!$B$114</f>
        <v>914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งปม.'!$C$114</f>
        <v>สำรอง 4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14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งปม.'!D115</f>
        <v>0</v>
      </c>
      <c r="F5" s="10">
        <f>'จัดสรร งปม.'!E115</f>
        <v>0</v>
      </c>
      <c r="G5" s="10">
        <f>'จัดสรร งปม.'!F115</f>
        <v>0</v>
      </c>
      <c r="H5" s="10">
        <f>'จัดสรร งปม.'!G115</f>
        <v>0</v>
      </c>
      <c r="I5" s="10">
        <f>'จัดสรร งปม.'!H115</f>
        <v>0</v>
      </c>
      <c r="J5" s="10">
        <f>'จัดสรร งปม.'!I115</f>
        <v>0</v>
      </c>
      <c r="K5" s="10">
        <f>'จัดสรร งปม.'!J115</f>
        <v>0</v>
      </c>
      <c r="L5" s="10">
        <f>'จัดสรร งปม.'!K115</f>
        <v>0</v>
      </c>
      <c r="M5" s="10"/>
      <c r="N5" s="10">
        <f>'จัดสรร งปม.'!L115</f>
        <v>0</v>
      </c>
      <c r="O5" s="10"/>
      <c r="P5" s="10">
        <f>'จัดสรร งปม.'!N115</f>
        <v>0</v>
      </c>
      <c r="Q5" s="10">
        <f>'จัดสรร งปม.'!P115</f>
        <v>0</v>
      </c>
      <c r="R5" s="10">
        <f>'จัดสรร งปม.'!Q115</f>
        <v>0</v>
      </c>
      <c r="S5" s="10">
        <f>'จัดสรร งปม.'!R115</f>
        <v>0</v>
      </c>
    </row>
    <row r="6" spans="1:22" x14ac:dyDescent="0.3">
      <c r="D6" s="49" t="s">
        <v>94</v>
      </c>
      <c r="E6" s="10">
        <f>SUM(E11:E45)</f>
        <v>15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15</v>
      </c>
    </row>
    <row r="7" spans="1:22" x14ac:dyDescent="0.3">
      <c r="B7" s="77" t="s">
        <v>16</v>
      </c>
      <c r="C7" s="79"/>
      <c r="D7" s="49" t="s">
        <v>96</v>
      </c>
      <c r="E7" s="10">
        <f>E5-E6</f>
        <v>-15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-15</v>
      </c>
    </row>
    <row r="8" spans="1:22" x14ac:dyDescent="0.3">
      <c r="B8" s="49" t="s">
        <v>99</v>
      </c>
      <c r="C8" s="79">
        <f>'จัดสรร งปม.'!$B$115</f>
        <v>915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งปม.'!$C$115</f>
        <v>สำรอง 5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15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งปม.'!D116</f>
        <v>0</v>
      </c>
      <c r="F5" s="10">
        <f>'จัดสรร งปม.'!E116</f>
        <v>0</v>
      </c>
      <c r="G5" s="10">
        <f>'จัดสรร งปม.'!F116</f>
        <v>0</v>
      </c>
      <c r="H5" s="10">
        <f>'จัดสรร งปม.'!G116</f>
        <v>0</v>
      </c>
      <c r="I5" s="10">
        <f>'จัดสรร งปม.'!H116</f>
        <v>0</v>
      </c>
      <c r="J5" s="10">
        <f>'จัดสรร งปม.'!I116</f>
        <v>0</v>
      </c>
      <c r="K5" s="10">
        <f>'จัดสรร งปม.'!J116</f>
        <v>0</v>
      </c>
      <c r="L5" s="10">
        <f>'จัดสรร งปม.'!K116</f>
        <v>0</v>
      </c>
      <c r="M5" s="10"/>
      <c r="N5" s="10">
        <f>'จัดสรร งปม.'!L116</f>
        <v>0</v>
      </c>
      <c r="O5" s="10"/>
      <c r="P5" s="10">
        <f>'จัดสรร งปม.'!N116</f>
        <v>0</v>
      </c>
      <c r="Q5" s="10">
        <f>'จัดสรร งปม.'!P116</f>
        <v>0</v>
      </c>
      <c r="R5" s="10">
        <f>'จัดสรร งปม.'!Q116</f>
        <v>0</v>
      </c>
      <c r="S5" s="10">
        <f>'จัดสรร งปม.'!R116</f>
        <v>0</v>
      </c>
    </row>
    <row r="6" spans="1:22" x14ac:dyDescent="0.3">
      <c r="D6" s="49" t="s">
        <v>94</v>
      </c>
      <c r="E6" s="10">
        <f>SUM(E11:E45)</f>
        <v>16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16</v>
      </c>
    </row>
    <row r="7" spans="1:22" x14ac:dyDescent="0.3">
      <c r="B7" s="77" t="s">
        <v>16</v>
      </c>
      <c r="C7" s="79"/>
      <c r="D7" s="49" t="s">
        <v>96</v>
      </c>
      <c r="E7" s="10">
        <f>E5-E6</f>
        <v>-16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-16</v>
      </c>
    </row>
    <row r="8" spans="1:22" x14ac:dyDescent="0.3">
      <c r="B8" s="49" t="s">
        <v>99</v>
      </c>
      <c r="C8" s="79">
        <f>'จัดสรร งปม.'!$B$116</f>
        <v>916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งปม.'!$C$116</f>
        <v>สำรอง 6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16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งปม.'!D117</f>
        <v>0</v>
      </c>
      <c r="F5" s="10">
        <f>'จัดสรร งปม.'!E117</f>
        <v>0</v>
      </c>
      <c r="G5" s="10">
        <f>'จัดสรร งปม.'!F117</f>
        <v>0</v>
      </c>
      <c r="H5" s="10">
        <f>'จัดสรร งปม.'!G117</f>
        <v>0</v>
      </c>
      <c r="I5" s="10">
        <f>'จัดสรร งปม.'!H117</f>
        <v>0</v>
      </c>
      <c r="J5" s="10">
        <f>'จัดสรร งปม.'!I117</f>
        <v>0</v>
      </c>
      <c r="K5" s="10">
        <f>'จัดสรร งปม.'!J117</f>
        <v>0</v>
      </c>
      <c r="L5" s="10">
        <f>'จัดสรร งปม.'!K117</f>
        <v>0</v>
      </c>
      <c r="M5" s="10"/>
      <c r="N5" s="10">
        <f>'จัดสรร งปม.'!L117</f>
        <v>0</v>
      </c>
      <c r="O5" s="10"/>
      <c r="P5" s="10">
        <f>'จัดสรร งปม.'!N117</f>
        <v>0</v>
      </c>
      <c r="Q5" s="10">
        <f>'จัดสรร งปม.'!P117</f>
        <v>0</v>
      </c>
      <c r="R5" s="10">
        <f>'จัดสรร งปม.'!Q117</f>
        <v>0</v>
      </c>
      <c r="S5" s="10">
        <f>'จัดสรร งปม.'!R117</f>
        <v>0</v>
      </c>
    </row>
    <row r="6" spans="1:22" x14ac:dyDescent="0.3">
      <c r="D6" s="49" t="s">
        <v>94</v>
      </c>
      <c r="E6" s="10">
        <f>SUM(E11:E45)</f>
        <v>17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17</v>
      </c>
    </row>
    <row r="7" spans="1:22" x14ac:dyDescent="0.3">
      <c r="B7" s="77" t="s">
        <v>16</v>
      </c>
      <c r="C7" s="79"/>
      <c r="D7" s="49" t="s">
        <v>96</v>
      </c>
      <c r="E7" s="10">
        <f>E5-E6</f>
        <v>-17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-17</v>
      </c>
    </row>
    <row r="8" spans="1:22" x14ac:dyDescent="0.3">
      <c r="B8" s="49" t="s">
        <v>99</v>
      </c>
      <c r="C8" s="79">
        <f>'จัดสรร งปม.'!$B$117</f>
        <v>917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งปม.'!$C$117</f>
        <v>สำรอง 7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17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งปม.'!D118</f>
        <v>0</v>
      </c>
      <c r="F5" s="10">
        <f>'จัดสรร งปม.'!E118</f>
        <v>0</v>
      </c>
      <c r="G5" s="10">
        <f>'จัดสรร งปม.'!F118</f>
        <v>0</v>
      </c>
      <c r="H5" s="10">
        <f>'จัดสรร งปม.'!G118</f>
        <v>0</v>
      </c>
      <c r="I5" s="10">
        <f>'จัดสรร งปม.'!H118</f>
        <v>0</v>
      </c>
      <c r="J5" s="10">
        <f>'จัดสรร งปม.'!I118</f>
        <v>0</v>
      </c>
      <c r="K5" s="10">
        <f>'จัดสรร งปม.'!J118</f>
        <v>0</v>
      </c>
      <c r="L5" s="10">
        <f>'จัดสรร งปม.'!K118</f>
        <v>0</v>
      </c>
      <c r="M5" s="10"/>
      <c r="N5" s="10">
        <f>'จัดสรร งปม.'!L118</f>
        <v>0</v>
      </c>
      <c r="O5" s="10"/>
      <c r="P5" s="10">
        <f>'จัดสรร งปม.'!N118</f>
        <v>0</v>
      </c>
      <c r="Q5" s="10">
        <f>'จัดสรร งปม.'!P118</f>
        <v>0</v>
      </c>
      <c r="R5" s="10">
        <f>'จัดสรร งปม.'!Q118</f>
        <v>0</v>
      </c>
      <c r="S5" s="10">
        <f>'จัดสรร งปม.'!R118</f>
        <v>0</v>
      </c>
    </row>
    <row r="6" spans="1:22" x14ac:dyDescent="0.3">
      <c r="D6" s="49" t="s">
        <v>94</v>
      </c>
      <c r="E6" s="10">
        <f>SUM(E11:E45)</f>
        <v>18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18</v>
      </c>
    </row>
    <row r="7" spans="1:22" x14ac:dyDescent="0.3">
      <c r="B7" s="77" t="s">
        <v>16</v>
      </c>
      <c r="C7" s="79"/>
      <c r="D7" s="49" t="s">
        <v>96</v>
      </c>
      <c r="E7" s="10">
        <f>E5-E6</f>
        <v>-18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-18</v>
      </c>
    </row>
    <row r="8" spans="1:22" x14ac:dyDescent="0.3">
      <c r="B8" s="49" t="s">
        <v>99</v>
      </c>
      <c r="C8" s="79">
        <f>'จัดสรร งปม.'!$B$118</f>
        <v>918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งปม.'!$C$118</f>
        <v>สำรอง 8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18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22" x14ac:dyDescent="0.3">
      <c r="A1" s="166" t="s">
        <v>139</v>
      </c>
      <c r="B1" s="166"/>
    </row>
    <row r="2" spans="1:22" ht="21.75" x14ac:dyDescent="0.5">
      <c r="E2" s="47" t="str">
        <f>Note!$B$1</f>
        <v>วิทยาลัยการอาชีพนวมินทราชินีแม่ฮ่องสอน</v>
      </c>
    </row>
    <row r="3" spans="1:22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22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22" x14ac:dyDescent="0.3">
      <c r="D5" s="49" t="s">
        <v>98</v>
      </c>
      <c r="E5" s="10">
        <f>'จัดสรร งปม.'!D119</f>
        <v>0</v>
      </c>
      <c r="F5" s="10">
        <f>'จัดสรร งปม.'!E119</f>
        <v>0</v>
      </c>
      <c r="G5" s="10">
        <f>'จัดสรร งปม.'!F119</f>
        <v>0</v>
      </c>
      <c r="H5" s="10">
        <f>'จัดสรร งปม.'!G119</f>
        <v>0</v>
      </c>
      <c r="I5" s="10">
        <f>'จัดสรร งปม.'!H119</f>
        <v>0</v>
      </c>
      <c r="J5" s="10">
        <f>'จัดสรร งปม.'!I119</f>
        <v>0</v>
      </c>
      <c r="K5" s="10">
        <f>'จัดสรร งปม.'!J119</f>
        <v>0</v>
      </c>
      <c r="L5" s="10">
        <f>'จัดสรร งปม.'!K119</f>
        <v>0</v>
      </c>
      <c r="M5" s="10"/>
      <c r="N5" s="10">
        <f>'จัดสรร งปม.'!L119</f>
        <v>0</v>
      </c>
      <c r="O5" s="10"/>
      <c r="P5" s="10">
        <f>'จัดสรร งปม.'!N119</f>
        <v>0</v>
      </c>
      <c r="Q5" s="10">
        <f>'จัดสรร งปม.'!P119</f>
        <v>0</v>
      </c>
      <c r="R5" s="10">
        <f>'จัดสรร งปม.'!Q119</f>
        <v>0</v>
      </c>
      <c r="S5" s="10">
        <f>'จัดสรร งปม.'!R119</f>
        <v>0</v>
      </c>
    </row>
    <row r="6" spans="1:22" x14ac:dyDescent="0.3">
      <c r="D6" s="49" t="s">
        <v>94</v>
      </c>
      <c r="E6" s="10">
        <f>SUM(E11:E45)</f>
        <v>19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19</v>
      </c>
    </row>
    <row r="7" spans="1:22" x14ac:dyDescent="0.3">
      <c r="B7" s="77" t="s">
        <v>16</v>
      </c>
      <c r="C7" s="79"/>
      <c r="D7" s="49" t="s">
        <v>96</v>
      </c>
      <c r="E7" s="10">
        <f>E5-E6</f>
        <v>-19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-19</v>
      </c>
    </row>
    <row r="8" spans="1:22" x14ac:dyDescent="0.3">
      <c r="B8" s="49" t="s">
        <v>99</v>
      </c>
      <c r="C8" s="79">
        <f>'จัดสรร งปม.'!$B$119</f>
        <v>919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2" x14ac:dyDescent="0.3">
      <c r="B9" s="49" t="s">
        <v>100</v>
      </c>
      <c r="C9" s="165" t="str">
        <f>'จัดสรร งปม.'!$C$119</f>
        <v>สำรอง 9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22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22" ht="21.75" x14ac:dyDescent="0.5">
      <c r="A11" s="21" t="s">
        <v>105</v>
      </c>
      <c r="B11" s="81"/>
      <c r="C11" s="44"/>
      <c r="D11" s="44"/>
      <c r="E11" s="10">
        <v>19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19</v>
      </c>
    </row>
    <row r="12" spans="1:22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  <c r="V12" s="113"/>
    </row>
    <row r="13" spans="1:22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22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22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22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F27" sqref="F27"/>
    </sheetView>
  </sheetViews>
  <sheetFormatPr defaultRowHeight="18.75" x14ac:dyDescent="0.3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9" x14ac:dyDescent="0.3">
      <c r="A1" s="166" t="s">
        <v>139</v>
      </c>
      <c r="B1" s="166"/>
    </row>
    <row r="2" spans="1:19" ht="21.75" x14ac:dyDescent="0.5">
      <c r="E2" s="47" t="str">
        <f>Note!$B$1</f>
        <v>วิทยาลัยการอาชีพนวมินทราชินีแม่ฮ่องสอน</v>
      </c>
    </row>
    <row r="3" spans="1:19" x14ac:dyDescent="0.3">
      <c r="E3" s="167" t="s">
        <v>13</v>
      </c>
      <c r="F3" s="167"/>
      <c r="G3" s="167"/>
      <c r="H3" s="161" t="s">
        <v>14</v>
      </c>
      <c r="I3" s="162"/>
      <c r="J3" s="162"/>
      <c r="K3" s="162"/>
      <c r="L3" s="162"/>
      <c r="M3" s="162"/>
      <c r="N3" s="163"/>
      <c r="O3" s="161" t="s">
        <v>16</v>
      </c>
      <c r="P3" s="163"/>
      <c r="Q3" s="168" t="s">
        <v>15</v>
      </c>
      <c r="R3" s="168"/>
      <c r="S3" s="156" t="s">
        <v>10</v>
      </c>
    </row>
    <row r="4" spans="1:19" x14ac:dyDescent="0.3">
      <c r="E4" s="108" t="s">
        <v>0</v>
      </c>
      <c r="F4" s="108" t="s">
        <v>1</v>
      </c>
      <c r="G4" s="108" t="s">
        <v>2</v>
      </c>
      <c r="H4" s="108" t="s">
        <v>209</v>
      </c>
      <c r="I4" s="108" t="s">
        <v>3</v>
      </c>
      <c r="J4" s="108" t="s">
        <v>4</v>
      </c>
      <c r="K4" s="108" t="s">
        <v>6</v>
      </c>
      <c r="L4" s="108" t="s">
        <v>5</v>
      </c>
      <c r="M4" s="126" t="s">
        <v>7</v>
      </c>
      <c r="N4" s="108" t="s">
        <v>376</v>
      </c>
      <c r="O4" s="108" t="s">
        <v>12</v>
      </c>
      <c r="P4" s="110" t="s">
        <v>210</v>
      </c>
      <c r="Q4" s="108" t="s">
        <v>8</v>
      </c>
      <c r="R4" s="108" t="s">
        <v>9</v>
      </c>
      <c r="S4" s="156"/>
    </row>
    <row r="5" spans="1:19" x14ac:dyDescent="0.3">
      <c r="D5" s="49" t="s">
        <v>98</v>
      </c>
      <c r="E5" s="10">
        <f>'จัดสรร งปม.'!D120</f>
        <v>0</v>
      </c>
      <c r="F5" s="10">
        <f>'จัดสรร งปม.'!E120</f>
        <v>0</v>
      </c>
      <c r="G5" s="10">
        <f>'จัดสรร งปม.'!F120</f>
        <v>0</v>
      </c>
      <c r="H5" s="10">
        <f>'จัดสรร งปม.'!G120</f>
        <v>0</v>
      </c>
      <c r="I5" s="10">
        <f>'จัดสรร งปม.'!H120</f>
        <v>0</v>
      </c>
      <c r="J5" s="10">
        <f>'จัดสรร งปม.'!I120</f>
        <v>0</v>
      </c>
      <c r="K5" s="10">
        <f>'จัดสรร งปม.'!J120</f>
        <v>0</v>
      </c>
      <c r="L5" s="10">
        <f>'จัดสรร งปม.'!K120</f>
        <v>0</v>
      </c>
      <c r="M5" s="10"/>
      <c r="N5" s="10">
        <f>'จัดสรร งปม.'!L120</f>
        <v>0</v>
      </c>
      <c r="O5" s="10"/>
      <c r="P5" s="10">
        <f>'จัดสรร งปม.'!N120</f>
        <v>0</v>
      </c>
      <c r="Q5" s="10">
        <f>'จัดสรร งปม.'!P120</f>
        <v>0</v>
      </c>
      <c r="R5" s="10">
        <f>'จัดสรร งปม.'!Q120</f>
        <v>0</v>
      </c>
      <c r="S5" s="10">
        <f>'จัดสรร งปม.'!R120</f>
        <v>0</v>
      </c>
    </row>
    <row r="6" spans="1:19" x14ac:dyDescent="0.3">
      <c r="D6" s="49" t="s">
        <v>94</v>
      </c>
      <c r="E6" s="10">
        <f>SUM(E11:E45)</f>
        <v>20</v>
      </c>
      <c r="F6" s="10">
        <f t="shared" ref="F6:S6" si="0">SUM(F11:F45)</f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/>
      <c r="N6" s="10">
        <f t="shared" si="0"/>
        <v>0</v>
      </c>
      <c r="O6" s="10"/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20</v>
      </c>
    </row>
    <row r="7" spans="1:19" x14ac:dyDescent="0.3">
      <c r="B7" s="77" t="s">
        <v>16</v>
      </c>
      <c r="C7" s="79"/>
      <c r="D7" s="49" t="s">
        <v>96</v>
      </c>
      <c r="E7" s="10">
        <f>E5-E6</f>
        <v>-20</v>
      </c>
      <c r="F7" s="10">
        <f t="shared" ref="F7:S7" si="1">F5-F6</f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/>
      <c r="N7" s="10">
        <f t="shared" si="1"/>
        <v>0</v>
      </c>
      <c r="O7" s="10"/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-20</v>
      </c>
    </row>
    <row r="8" spans="1:19" x14ac:dyDescent="0.3">
      <c r="B8" s="49" t="s">
        <v>99</v>
      </c>
      <c r="C8" s="79">
        <f>'จัดสรร งปม.'!$B$120</f>
        <v>920</v>
      </c>
      <c r="D8" s="7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">
      <c r="B9" s="49" t="s">
        <v>100</v>
      </c>
      <c r="C9" s="165" t="str">
        <f>'จัดสรร งปม.'!$C$120</f>
        <v>สำรอง 10</v>
      </c>
      <c r="D9" s="165"/>
      <c r="E9" s="165"/>
      <c r="F9" s="165"/>
      <c r="G9" s="165"/>
      <c r="H9" s="164"/>
      <c r="I9" s="164"/>
      <c r="J9" s="164"/>
      <c r="K9" s="164"/>
      <c r="L9" s="164"/>
      <c r="M9" s="164"/>
      <c r="N9" s="164"/>
      <c r="O9" s="4"/>
      <c r="P9" s="4"/>
      <c r="Q9" s="164"/>
      <c r="R9" s="164"/>
      <c r="S9" s="80"/>
    </row>
    <row r="10" spans="1:19" x14ac:dyDescent="0.3">
      <c r="A10" s="109" t="s">
        <v>101</v>
      </c>
      <c r="B10" s="109" t="s">
        <v>102</v>
      </c>
      <c r="C10" s="109" t="s">
        <v>103</v>
      </c>
      <c r="D10" s="109" t="s">
        <v>104</v>
      </c>
      <c r="E10" s="108" t="s">
        <v>0</v>
      </c>
      <c r="F10" s="108" t="s">
        <v>1</v>
      </c>
      <c r="G10" s="108" t="s">
        <v>2</v>
      </c>
      <c r="H10" s="108" t="s">
        <v>11</v>
      </c>
      <c r="I10" s="108" t="s">
        <v>3</v>
      </c>
      <c r="J10" s="108" t="s">
        <v>4</v>
      </c>
      <c r="K10" s="108" t="s">
        <v>6</v>
      </c>
      <c r="L10" s="108" t="s">
        <v>5</v>
      </c>
      <c r="M10" s="126" t="s">
        <v>7</v>
      </c>
      <c r="N10" s="108" t="s">
        <v>376</v>
      </c>
      <c r="O10" s="108" t="str">
        <f>+O4</f>
        <v>โครงการ</v>
      </c>
      <c r="P10" s="109" t="str">
        <f>+P4</f>
        <v>เงินนอกงบ</v>
      </c>
      <c r="Q10" s="108" t="s">
        <v>8</v>
      </c>
      <c r="R10" s="108" t="s">
        <v>9</v>
      </c>
      <c r="S10" s="111" t="s">
        <v>10</v>
      </c>
    </row>
    <row r="11" spans="1:19" ht="21.75" x14ac:dyDescent="0.5">
      <c r="A11" s="21" t="s">
        <v>105</v>
      </c>
      <c r="B11" s="81"/>
      <c r="C11" s="44"/>
      <c r="D11" s="44"/>
      <c r="E11" s="10">
        <v>20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f>SUM(E11:R11)</f>
        <v>20</v>
      </c>
    </row>
    <row r="12" spans="1:19" ht="21.75" x14ac:dyDescent="0.5">
      <c r="A12" s="42" t="s">
        <v>106</v>
      </c>
      <c r="B12" s="81"/>
      <c r="C12" s="44"/>
      <c r="D12" s="4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f t="shared" ref="S12:S45" si="2">SUM(E12:R12)</f>
        <v>0</v>
      </c>
    </row>
    <row r="13" spans="1:19" ht="21.75" x14ac:dyDescent="0.5">
      <c r="A13" s="42" t="s">
        <v>107</v>
      </c>
      <c r="B13" s="81"/>
      <c r="C13" s="44"/>
      <c r="D13" s="4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f t="shared" si="2"/>
        <v>0</v>
      </c>
    </row>
    <row r="14" spans="1:19" ht="21.75" x14ac:dyDescent="0.5">
      <c r="A14" s="42" t="s">
        <v>108</v>
      </c>
      <c r="B14" s="81"/>
      <c r="C14" s="44"/>
      <c r="D14" s="4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f t="shared" si="2"/>
        <v>0</v>
      </c>
    </row>
    <row r="15" spans="1:19" ht="21.75" x14ac:dyDescent="0.5">
      <c r="A15" s="42" t="s">
        <v>109</v>
      </c>
      <c r="B15" s="81"/>
      <c r="C15" s="44"/>
      <c r="D15" s="4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f t="shared" si="2"/>
        <v>0</v>
      </c>
    </row>
    <row r="16" spans="1:19" ht="21.75" x14ac:dyDescent="0.5">
      <c r="A16" s="42" t="s">
        <v>110</v>
      </c>
      <c r="B16" s="81"/>
      <c r="C16" s="44"/>
      <c r="D16" s="4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2"/>
        <v>0</v>
      </c>
    </row>
    <row r="17" spans="1:19" ht="21.75" x14ac:dyDescent="0.5">
      <c r="A17" s="42" t="s">
        <v>111</v>
      </c>
      <c r="B17" s="81"/>
      <c r="C17" s="44"/>
      <c r="D17" s="4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2"/>
        <v>0</v>
      </c>
    </row>
    <row r="18" spans="1:19" ht="21.75" x14ac:dyDescent="0.5">
      <c r="A18" s="42" t="s">
        <v>112</v>
      </c>
      <c r="B18" s="81"/>
      <c r="C18" s="44"/>
      <c r="D18" s="4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2"/>
        <v>0</v>
      </c>
    </row>
    <row r="19" spans="1:19" ht="21.75" x14ac:dyDescent="0.5">
      <c r="A19" s="42" t="s">
        <v>113</v>
      </c>
      <c r="B19" s="81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f t="shared" si="2"/>
        <v>0</v>
      </c>
    </row>
    <row r="20" spans="1:19" ht="21.75" x14ac:dyDescent="0.5">
      <c r="A20" s="42" t="s">
        <v>114</v>
      </c>
      <c r="B20" s="81"/>
      <c r="C20" s="44"/>
      <c r="D20" s="4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f t="shared" si="2"/>
        <v>0</v>
      </c>
    </row>
    <row r="21" spans="1:19" ht="21.75" x14ac:dyDescent="0.5">
      <c r="A21" s="42" t="s">
        <v>115</v>
      </c>
      <c r="B21" s="81"/>
      <c r="C21" s="44"/>
      <c r="D21" s="4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f t="shared" si="2"/>
        <v>0</v>
      </c>
    </row>
    <row r="22" spans="1:19" ht="21.75" x14ac:dyDescent="0.5">
      <c r="A22" s="42" t="s">
        <v>116</v>
      </c>
      <c r="B22" s="81"/>
      <c r="C22" s="44"/>
      <c r="D22" s="4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f t="shared" si="2"/>
        <v>0</v>
      </c>
    </row>
    <row r="23" spans="1:19" ht="21.75" x14ac:dyDescent="0.5">
      <c r="A23" s="42" t="s">
        <v>117</v>
      </c>
      <c r="B23" s="81"/>
      <c r="C23" s="44"/>
      <c r="D23" s="4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2"/>
        <v>0</v>
      </c>
    </row>
    <row r="24" spans="1:19" ht="21.75" x14ac:dyDescent="0.5">
      <c r="A24" s="42" t="s">
        <v>118</v>
      </c>
      <c r="B24" s="81"/>
      <c r="C24" s="44"/>
      <c r="D24" s="4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f t="shared" si="2"/>
        <v>0</v>
      </c>
    </row>
    <row r="25" spans="1:19" ht="21.75" x14ac:dyDescent="0.5">
      <c r="A25" s="42" t="s">
        <v>119</v>
      </c>
      <c r="B25" s="81"/>
      <c r="C25" s="44"/>
      <c r="D25" s="4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f t="shared" si="2"/>
        <v>0</v>
      </c>
    </row>
    <row r="26" spans="1:19" ht="21.75" x14ac:dyDescent="0.5">
      <c r="A26" s="42" t="s">
        <v>120</v>
      </c>
      <c r="B26" s="81"/>
      <c r="C26" s="44"/>
      <c r="D26" s="4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f t="shared" si="2"/>
        <v>0</v>
      </c>
    </row>
    <row r="27" spans="1:19" ht="21.75" x14ac:dyDescent="0.5">
      <c r="A27" s="42" t="s">
        <v>121</v>
      </c>
      <c r="B27" s="81"/>
      <c r="C27" s="44"/>
      <c r="D27" s="4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f t="shared" si="2"/>
        <v>0</v>
      </c>
    </row>
    <row r="28" spans="1:19" ht="21.75" x14ac:dyDescent="0.5">
      <c r="A28" s="42" t="s">
        <v>122</v>
      </c>
      <c r="B28" s="81"/>
      <c r="C28" s="44"/>
      <c r="D28" s="4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f t="shared" si="2"/>
        <v>0</v>
      </c>
    </row>
    <row r="29" spans="1:19" ht="21.75" x14ac:dyDescent="0.5">
      <c r="A29" s="42" t="s">
        <v>123</v>
      </c>
      <c r="B29" s="81"/>
      <c r="C29" s="44"/>
      <c r="D29" s="4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f t="shared" si="2"/>
        <v>0</v>
      </c>
    </row>
    <row r="30" spans="1:19" ht="21.75" x14ac:dyDescent="0.5">
      <c r="A30" s="42" t="s">
        <v>124</v>
      </c>
      <c r="B30" s="81"/>
      <c r="C30" s="44"/>
      <c r="D30" s="4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f t="shared" si="2"/>
        <v>0</v>
      </c>
    </row>
    <row r="31" spans="1:19" ht="21.75" x14ac:dyDescent="0.5">
      <c r="A31" s="42" t="s">
        <v>125</v>
      </c>
      <c r="B31" s="81"/>
      <c r="C31" s="44"/>
      <c r="D31" s="4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f t="shared" si="2"/>
        <v>0</v>
      </c>
    </row>
    <row r="32" spans="1:19" ht="21.75" x14ac:dyDescent="0.5">
      <c r="A32" s="42" t="s">
        <v>126</v>
      </c>
      <c r="B32" s="81"/>
      <c r="C32" s="44"/>
      <c r="D32" s="4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f t="shared" si="2"/>
        <v>0</v>
      </c>
    </row>
    <row r="33" spans="1:19" x14ac:dyDescent="0.3">
      <c r="A33" s="42" t="s">
        <v>127</v>
      </c>
      <c r="B33" s="81"/>
      <c r="C33" s="44"/>
      <c r="D33" s="4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f t="shared" si="2"/>
        <v>0</v>
      </c>
    </row>
    <row r="34" spans="1:19" x14ac:dyDescent="0.3">
      <c r="A34" s="42" t="s">
        <v>128</v>
      </c>
      <c r="B34" s="81"/>
      <c r="C34" s="44"/>
      <c r="D34" s="4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2"/>
        <v>0</v>
      </c>
    </row>
    <row r="35" spans="1:19" x14ac:dyDescent="0.3">
      <c r="A35" s="42" t="s">
        <v>129</v>
      </c>
      <c r="B35" s="81"/>
      <c r="C35" s="44"/>
      <c r="D35" s="4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f t="shared" si="2"/>
        <v>0</v>
      </c>
    </row>
    <row r="36" spans="1:19" x14ac:dyDescent="0.3">
      <c r="A36" s="42" t="s">
        <v>130</v>
      </c>
      <c r="B36" s="81"/>
      <c r="C36" s="44"/>
      <c r="D36" s="4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f t="shared" si="2"/>
        <v>0</v>
      </c>
    </row>
    <row r="37" spans="1:19" x14ac:dyDescent="0.3">
      <c r="A37" s="42" t="s">
        <v>131</v>
      </c>
      <c r="B37" s="81"/>
      <c r="C37" s="44"/>
      <c r="D37" s="4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f t="shared" si="2"/>
        <v>0</v>
      </c>
    </row>
    <row r="38" spans="1:19" x14ac:dyDescent="0.3">
      <c r="A38" s="42" t="s">
        <v>132</v>
      </c>
      <c r="B38" s="81"/>
      <c r="C38" s="44"/>
      <c r="D38" s="4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f t="shared" si="2"/>
        <v>0</v>
      </c>
    </row>
    <row r="39" spans="1:19" x14ac:dyDescent="0.3">
      <c r="A39" s="42" t="s">
        <v>133</v>
      </c>
      <c r="B39" s="81"/>
      <c r="C39" s="44"/>
      <c r="D39" s="4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f t="shared" si="2"/>
        <v>0</v>
      </c>
    </row>
    <row r="40" spans="1:19" x14ac:dyDescent="0.3">
      <c r="A40" s="42" t="s">
        <v>124</v>
      </c>
      <c r="B40" s="81"/>
      <c r="C40" s="44"/>
      <c r="D40" s="4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 t="shared" si="2"/>
        <v>0</v>
      </c>
    </row>
    <row r="41" spans="1:19" x14ac:dyDescent="0.3">
      <c r="A41" s="42" t="s">
        <v>134</v>
      </c>
      <c r="B41" s="81"/>
      <c r="C41" s="44"/>
      <c r="D41" s="4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f t="shared" si="2"/>
        <v>0</v>
      </c>
    </row>
    <row r="42" spans="1:19" x14ac:dyDescent="0.3">
      <c r="A42" s="42" t="s">
        <v>135</v>
      </c>
      <c r="B42" s="81"/>
      <c r="C42" s="44"/>
      <c r="D42" s="4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f t="shared" si="2"/>
        <v>0</v>
      </c>
    </row>
    <row r="43" spans="1:19" x14ac:dyDescent="0.3">
      <c r="A43" s="42" t="s">
        <v>136</v>
      </c>
      <c r="B43" s="81"/>
      <c r="C43" s="44"/>
      <c r="D43" s="4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f t="shared" si="2"/>
        <v>0</v>
      </c>
    </row>
    <row r="44" spans="1:19" x14ac:dyDescent="0.3">
      <c r="A44" s="42" t="s">
        <v>137</v>
      </c>
      <c r="B44" s="81"/>
      <c r="C44" s="44"/>
      <c r="D44" s="4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f t="shared" si="2"/>
        <v>0</v>
      </c>
    </row>
    <row r="45" spans="1:19" x14ac:dyDescent="0.3">
      <c r="A45" s="42" t="s">
        <v>138</v>
      </c>
      <c r="B45" s="81"/>
      <c r="C45" s="44"/>
      <c r="D45" s="4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si="2"/>
        <v>0</v>
      </c>
    </row>
  </sheetData>
  <mergeCells count="9">
    <mergeCell ref="S3:S4"/>
    <mergeCell ref="C9:G9"/>
    <mergeCell ref="H9:N9"/>
    <mergeCell ref="Q9:R9"/>
    <mergeCell ref="A1:B1"/>
    <mergeCell ref="E3:G3"/>
    <mergeCell ref="H3:N3"/>
    <mergeCell ref="Q3:R3"/>
    <mergeCell ref="O3:P3"/>
  </mergeCells>
  <hyperlinks>
    <hyperlink ref="A1:B1" location="'จัดสรร งปม.'!A1" display="กลับไปที่หน้าจัดสรร งปม.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108</vt:i4>
      </vt:variant>
    </vt:vector>
  </HeadingPairs>
  <TitlesOfParts>
    <vt:vector size="108" baseType="lpstr">
      <vt:lpstr>Note</vt:lpstr>
      <vt:lpstr>ประมาณการายจ่าย</vt:lpstr>
      <vt:lpstr>รายการจัดสรร</vt:lpstr>
      <vt:lpstr>งปม.เข้า</vt:lpstr>
      <vt:lpstr>จัดสรร งปม.</vt:lpstr>
      <vt:lpstr>101</vt:lpstr>
      <vt:lpstr>102</vt:lpstr>
      <vt:lpstr>103</vt:lpstr>
      <vt:lpstr>104</vt:lpstr>
      <vt:lpstr>105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501</vt:lpstr>
      <vt:lpstr>502</vt:lpstr>
      <vt:lpstr>503</vt:lpstr>
      <vt:lpstr>504</vt:lpstr>
      <vt:lpstr>505</vt:lpstr>
      <vt:lpstr>506</vt:lpstr>
      <vt:lpstr>507</vt:lpstr>
      <vt:lpstr>508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701</vt:lpstr>
      <vt:lpstr>702</vt:lpstr>
      <vt:lpstr>703</vt:lpstr>
      <vt:lpstr>704</vt:lpstr>
      <vt:lpstr>705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4300</cp:lastModifiedBy>
  <cp:lastPrinted>2022-02-21T05:07:30Z</cp:lastPrinted>
  <dcterms:created xsi:type="dcterms:W3CDTF">2022-01-21T06:08:19Z</dcterms:created>
  <dcterms:modified xsi:type="dcterms:W3CDTF">2022-03-28T08:31:55Z</dcterms:modified>
</cp:coreProperties>
</file>