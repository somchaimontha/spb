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อกสารจากเครื่องเดิม HP\1.แผนปฏิบัติงานประจำปี\แผนปฏิบัติราชการ ประจำปีงบประมาณ ๒๕๖๙\"/>
    </mc:Choice>
  </mc:AlternateContent>
  <xr:revisionPtr revIDLastSave="0" documentId="13_ncr:1_{B000A51E-F04A-40F4-8959-5E6ACE8CE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โครงการในแผน 2569 (print)" sheetId="10" r:id="rId1"/>
    <sheet name="กราฟ งบดำเนินงาน (69)" sheetId="11" r:id="rId2"/>
    <sheet name="Sheet2" sheetId="7" r:id="rId3"/>
  </sheets>
  <definedNames>
    <definedName name="_Hlk10098556" localSheetId="0">'โครงการในแผน 2569 (print)'!$B$102</definedName>
    <definedName name="_Hlk112756539" localSheetId="0">'โครงการในแผน 2569 (print)'!#REF!</definedName>
    <definedName name="_xlnm.Print_Area" localSheetId="0">'โครงการในแผน 2569 (print)'!$A$1:$K$145</definedName>
    <definedName name="_xlnm.Print_Titles" localSheetId="0">'โครงการในแผน 2569 (print)'!$1:$3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2" i="10" l="1"/>
  <c r="K94" i="10" l="1"/>
  <c r="K48" i="10"/>
  <c r="K12" i="10"/>
  <c r="E22" i="10"/>
  <c r="C22" i="10"/>
  <c r="G49" i="10"/>
  <c r="C49" i="10"/>
  <c r="C32" i="10"/>
  <c r="D5" i="11"/>
  <c r="F4" i="10"/>
  <c r="D23" i="10"/>
  <c r="F23" i="10"/>
  <c r="H23" i="10"/>
  <c r="I23" i="10"/>
  <c r="C64" i="10"/>
  <c r="C88" i="10" s="1"/>
  <c r="I32" i="10"/>
  <c r="D32" i="10"/>
  <c r="E32" i="10"/>
  <c r="F32" i="10"/>
  <c r="G32" i="10"/>
  <c r="H32" i="10"/>
  <c r="F88" i="10"/>
  <c r="D136" i="10"/>
  <c r="C136" i="10"/>
  <c r="D88" i="10"/>
  <c r="E88" i="10"/>
  <c r="G88" i="10"/>
  <c r="H88" i="10"/>
  <c r="I88" i="10"/>
  <c r="D52" i="11"/>
  <c r="B58" i="11"/>
  <c r="D40" i="11"/>
  <c r="D47" i="11"/>
  <c r="C47" i="11"/>
  <c r="D28" i="11"/>
  <c r="D29" i="11" s="1"/>
  <c r="D53" i="11"/>
  <c r="C53" i="11"/>
  <c r="C41" i="11"/>
  <c r="D41" i="11"/>
  <c r="C29" i="11"/>
  <c r="C8" i="11"/>
  <c r="D7" i="11"/>
  <c r="D6" i="11"/>
  <c r="F12" i="11" s="1"/>
  <c r="J12" i="11" s="1"/>
  <c r="B12" i="11"/>
  <c r="D12" i="11" s="1"/>
  <c r="F47" i="11" l="1"/>
  <c r="B47" i="11"/>
  <c r="E5" i="11"/>
  <c r="D8" i="11"/>
  <c r="J144" i="10"/>
  <c r="I144" i="10"/>
  <c r="H144" i="10"/>
  <c r="G144" i="10"/>
  <c r="F144" i="10"/>
  <c r="E144" i="10"/>
  <c r="D144" i="10"/>
  <c r="I136" i="10"/>
  <c r="H136" i="10"/>
  <c r="G136" i="10"/>
  <c r="F136" i="10"/>
  <c r="E136" i="10"/>
  <c r="I49" i="10"/>
  <c r="H49" i="10"/>
  <c r="F49" i="10"/>
  <c r="E49" i="10"/>
  <c r="D49" i="10"/>
  <c r="D137" i="10" s="1"/>
  <c r="G9" i="10"/>
  <c r="K5" i="10"/>
  <c r="J5" i="10"/>
  <c r="H4" i="10"/>
  <c r="F137" i="10" l="1"/>
  <c r="F5" i="10" s="1"/>
  <c r="D58" i="11" s="1"/>
  <c r="H137" i="10"/>
  <c r="H5" i="10" s="1"/>
  <c r="E23" i="10"/>
  <c r="E137" i="10" s="1"/>
  <c r="E5" i="10" s="1"/>
  <c r="G23" i="10"/>
  <c r="G137" i="10" s="1"/>
  <c r="G5" i="10" s="1"/>
  <c r="C58" i="11" s="1"/>
  <c r="C23" i="10"/>
  <c r="C137" i="10" s="1"/>
  <c r="C5" i="10" s="1"/>
  <c r="C4" i="10"/>
  <c r="I137" i="10"/>
  <c r="I5" i="10" s="1"/>
  <c r="D5" i="10"/>
  <c r="C76" i="7" l="1"/>
</calcChain>
</file>

<file path=xl/sharedStrings.xml><?xml version="1.0" encoding="utf-8"?>
<sst xmlns="http://schemas.openxmlformats.org/spreadsheetml/2006/main" count="489" uniqueCount="282">
  <si>
    <t>ที่</t>
  </si>
  <si>
    <t>งบเรียนฟรี</t>
  </si>
  <si>
    <t>งบดำเนินงาน</t>
  </si>
  <si>
    <t>บกศ.</t>
  </si>
  <si>
    <t>งบรายจ่ายอื่น</t>
  </si>
  <si>
    <t>งบประมาณส่วนกลาง  สอศ.</t>
  </si>
  <si>
    <t>ระยะเวลาดำเนินการ</t>
  </si>
  <si>
    <t>กิจกรรมพัฒนาผู้เรียน</t>
  </si>
  <si>
    <t>อุดหนุนการจัดการเรียนการสอน</t>
  </si>
  <si>
    <t>ฝ่ายบริหารทรัพยากร</t>
  </si>
  <si>
    <t>งานทะเบียน</t>
  </si>
  <si>
    <t>งานประชาสัมพันธ์</t>
  </si>
  <si>
    <t>งานยานพาหนะ</t>
  </si>
  <si>
    <t>รวมยอดทั้งสิ้นฝ่ายบริหารทรัพยากร</t>
  </si>
  <si>
    <t>ฝ่ายแผนงานและความร่วมมือ</t>
  </si>
  <si>
    <t>รวมยอดทั้งสิ้นฝ่ายแผนงานและความร่วมมือ</t>
  </si>
  <si>
    <t>ฝ่ายพัฒนากิจการนักเรียน นักศึกษา</t>
  </si>
  <si>
    <t>รวมยอดทั้งสิ้นฝ่ายพัฒนากิจการนักเรียน นักศึกษา</t>
  </si>
  <si>
    <t>ฝ่ายวิชาการ</t>
  </si>
  <si>
    <t xml:space="preserve"> </t>
  </si>
  <si>
    <t>แผนกช่างยนต์</t>
  </si>
  <si>
    <t>รวมยอดทั้งสิ้นฝ่ายวิชาการ</t>
  </si>
  <si>
    <t>งานกิจกรรมพัฒนาผู้เรียน</t>
  </si>
  <si>
    <t>รวมยอดโครงการงานกิจกรรมชมรม</t>
  </si>
  <si>
    <t>***รวมทั้งสิ้น***</t>
  </si>
  <si>
    <t>โครงการตาม พ.ร.บ. ตามงบประมาณ</t>
  </si>
  <si>
    <t>ผู้รับผิดชอบโครงการ</t>
  </si>
  <si>
    <t>โครงการจัดซื้อวัสดุสำนักงาน งานอาคารสถานที่</t>
  </si>
  <si>
    <t>โครงการจัดซื้อครุภัณฑ์งานอาคารสถานที่</t>
  </si>
  <si>
    <t>แผนกบัญชี</t>
  </si>
  <si>
    <t>แผนกสามัญ</t>
  </si>
  <si>
    <t>โครงการวิทยาลัยการอาชีพแม่สะเรียง ประจำปีงบประมาณ พ.ศ. 2569</t>
  </si>
  <si>
    <t>งบประมาณที่ขอ</t>
  </si>
  <si>
    <t>โครงการ รับสมัครและรายงานตัวนักเรียน นักศึกษา ประจำปีการศึกษา 2569</t>
  </si>
  <si>
    <t>โครงการมอบประกาศนียบัตรแก่ผู้สำเร็จการศึกษา ประจำปี 2568</t>
  </si>
  <si>
    <t>โครงการ ประจำปีงบประมาณ 2569</t>
  </si>
  <si>
    <t>ลำดับ</t>
  </si>
  <si>
    <r>
      <t>โครงการ</t>
    </r>
    <r>
      <rPr>
        <sz val="16"/>
        <color theme="1"/>
        <rFont val="TH SarabunIT๙"/>
        <family val="2"/>
      </rPr>
      <t>มอบประกาศนียบัตรแก่ผู้สำเร็จการศึกษา ประจำปี 2568</t>
    </r>
  </si>
  <si>
    <t>รายการ</t>
  </si>
  <si>
    <t>โครงการรับสมัครและรายงานตัวนักเรียน นักศึกษา ประจำปีการศึกษา 2569</t>
  </si>
  <si>
    <t>งานที่รับผิดชอบ</t>
  </si>
  <si>
    <t>โครงการพัฒนาห้องนวัตกรรมเทคโนโลยี แผนกวิชาเทคโนโลยีสารสนเทศ</t>
  </si>
  <si>
    <t>โครงการเทคโนโลยีนวัฒกรรมการเรียนรู้การอนุรักษ์พลังงาน สำหรับนายช่างไฟฟ้าสู่สถานประกอบการ</t>
  </si>
  <si>
    <t>โครงการแข่งขันทักษะวิชาชีพช่างไฟฟ้ากำลัง (ภายในสถานศึกษา)</t>
  </si>
  <si>
    <t>โครงการจัดสภาพแวดล้อมสำหรับการเรียนรู้ในศตวรรษที่ 21 แผนกวิชาช่างไฟฟ้ากำลัง</t>
  </si>
  <si>
    <t>โครงทดสอบมาตรฐานฝีมือแรงงานแห่งชาติ ช่างไฟฟ้าระดับ 1</t>
  </si>
  <si>
    <t>โครงการศึกษาดูงานในสถานประกอบการ ประจำปีการศึกษา 2569</t>
  </si>
  <si>
    <t>แผนกช่างไฟฟ้า</t>
  </si>
  <si>
    <t>โครงการอาชีวอาสา “เทศกาลสงกรานต์ 2569”</t>
  </si>
  <si>
    <t>โครงการศูนย์ซ่อมสร้างเพื่อชุมชน Fix it center (จิตอาสา) ประจำปี 2569</t>
  </si>
  <si>
    <t xml:space="preserve">โครงการจัดการอาชีวศึกษาเพื่อสนองพระราชดำริ ประจำปีงบประมารณ ๒๕๖๙  กิจกรรม: พัฒนาอาชีพให้แก่เด็กและเยาวชนในถิ่นทุรกันดาร </t>
  </si>
  <si>
    <t>โครงการพิเศษฯ</t>
  </si>
  <si>
    <t>***</t>
  </si>
  <si>
    <t>แผนกเทคโนฯ</t>
  </si>
  <si>
    <t>แผนกเทคนิคพื้นฐาน</t>
  </si>
  <si>
    <t xml:space="preserve">โครงการแข่งขันทักษะวิชาชีพ งานฝึกฝีมือ  </t>
  </si>
  <si>
    <t>โครงการการจัดสภาพแวดล้อมสำหรับการเรียนรู้ ซ่อมบำรุง ครุภัณฑ์ แผนกเทคนิคพื้นฐาน</t>
  </si>
  <si>
    <t>งานเอกสารและการพิมพ์</t>
  </si>
  <si>
    <t>โครงการ ปฐมนิเทศนักเรียน นักศึกษา ประจำปีการศึกษา 2569</t>
  </si>
  <si>
    <t>การระดมทุนและทรัพยากรเพื่อการศึกษาของนักเรียน นักศึกษา วิทยาลัยการอาชีพแม่สะเรียง</t>
  </si>
  <si>
    <t>โครงการแนะแนวการศึกษาต่อ วิทยาลัยการอาชีพแม่สะเรียง</t>
  </si>
  <si>
    <t>โครงการติดตามผู้สำเร็จการศึกษา วิทยาลัยการอาชีพแม่สะเรียง</t>
  </si>
  <si>
    <t>โครงการปัจฉิมนิเทศนักเรียน นักศึกษา ประจำปีการศึกษา 2568</t>
  </si>
  <si>
    <t xml:space="preserve">โครงการ ออกเยี่ยมบ้าน หอพัก บ้านเช่า ที่พักอาศัยของนักเรียน นักศึกษา </t>
  </si>
  <si>
    <t xml:space="preserve">โครงการ การประชุมผู้ปกครองนักเรียน นักศึกษา </t>
  </si>
  <si>
    <t>โครงการบันทึกความร่วมมือเพื่อพัฒนาการอาชีวศึกษา</t>
  </si>
  <si>
    <t>งานความร่วมมือ</t>
  </si>
  <si>
    <t>งานปกครอง</t>
  </si>
  <si>
    <t>ครูที่ปรึกษา</t>
  </si>
  <si>
    <t>งานแนะแนว</t>
  </si>
  <si>
    <t>ปฐมนิเทศการฝึกประสบการณ์วิชาชีพของนักเรียน นักศึกษาระบบทวิภาคี ประจำปีการศึกษา
2569</t>
  </si>
  <si>
    <t>ปัจฉิมนิเทศนักเรียน นักศึกษาฝึกอาชีพและฝึกประสบการณ์วิชาชีพในสถานประกอบการ ประจำปีการศึกษา 2568</t>
  </si>
  <si>
    <t>โครงการเสริมสร้างความร่วมมือในการจัดการศึกษาร่วมกับสถานประกอบการ ร่วมพัฒนาหลักสูตร เพื่อสร้างมาตรฐานในการจัดการศึกษา และสร้างความเข้าใจในการวัดประเมินผลการศึกษาระบบทวิภาคี</t>
  </si>
  <si>
    <t>โครงการซ่อมบำรุงดูแลรักษายานพาหนะ</t>
  </si>
  <si>
    <t>ทดสอบมาตรฐานวิชาชีพ ประจำปีการศึกษา 2568</t>
  </si>
  <si>
    <t>ทดสอบความรู้ความถนัดทางวิชาชีพของนักเรียนประกาศนียบัตรวิชาชีพ (ปวช.)และประกาศนียบัตรวิชาชีพชั้นสูง (ปวส.) ประจำปีการศึกษา 2569</t>
  </si>
  <si>
    <t>โครงการประกวดผลงานสิ่งประดิษฐ์ของคนรุ่นใหม่  ประจำปีการศึกษา 2569</t>
  </si>
  <si>
    <t>สร้างองค์ความรู้ทางการอาชีวศึกษาเพื่อถ่ายทอดเทคโนโลยี ประจำปีการศึกษา</t>
  </si>
  <si>
    <t xml:space="preserve">โครงการจัดซื้อครุภัณฑ์ในการพัฒนาวัตกรรมสิ่งประดิษฐ์ </t>
  </si>
  <si>
    <t>สัปดาห์ห้องสมุด</t>
  </si>
  <si>
    <t>พัฒนาและปรับปรุงห้องสมุด</t>
  </si>
  <si>
    <t>โครงการจัดซื้อเวชภัณฑ์ยาสามัญประจำบ้าน ประจำปีการศึกษา ๒๕๖๙</t>
  </si>
  <si>
    <t>โครงการตรวจสุขภาพนักเรียนนักศึกษา ประจำปีการศึกษา 2569</t>
  </si>
  <si>
    <t>โครงการประกันอุบัติเหตุ ประจำปีการศึกษา 2569</t>
  </si>
  <si>
    <t>ประชุมภาคี 4 ฝ่าย ภาคเรียนที่ 1/2569 ภาคเรียนที่ 2/2569</t>
  </si>
  <si>
    <t>ซื้อหนังสือเรียนฟรี 15 ปี ภาคเรียนที่ 1/2569 และ ภาคเรียนที่ 2/2569</t>
  </si>
  <si>
    <t>งานทวิภาคี</t>
  </si>
  <si>
    <t>งานวัดผลฯ</t>
  </si>
  <si>
    <t>งานวิจัย พัฒนา</t>
  </si>
  <si>
    <t>งานวิทยบริการ</t>
  </si>
  <si>
    <t>งานสวัสดิการ</t>
  </si>
  <si>
    <t>งานสื่อการเรียน</t>
  </si>
  <si>
    <t>โครงการตรวจสารเสพติดนักเรียนชั้น ปวช.1 ประจำปีการศึกษา 2569</t>
  </si>
  <si>
    <t>โครงการอาชีวะด้านยาเสพติด</t>
  </si>
  <si>
    <t>อบรมเชิงปฏิบัติการจัดทำแผนการเรียนรู้ตามหลักสูตรสมรรถนะและการวัดและประเมินผลตามสภาพจริงร่วมกับการจัดการเรียนรู้แบบ STEAM Based สำหรับครูอาชีวศึกษา</t>
  </si>
  <si>
    <t>นิเทศการจัดการเรียนการสอน</t>
  </si>
  <si>
    <t>แข่งขันทักษะวิชาชีพระดับ อศจ. ภาค และชาติ ประจำปีการศึกษา 2568</t>
  </si>
  <si>
    <t>พัฒนาหลักสูตรร่วมกับสถานประกอบการ ประจำปีการศึกษา 2569</t>
  </si>
  <si>
    <t>โครงการอบรมเชิงปฏิบัติการเสริมสร้างทักษะในการพัฒนาหลักสูตรรายวิชาของสถานศึกษา(หลักสูตรสถานศึกษา) โดยใช้พื้นที่เป็นฐาน</t>
  </si>
  <si>
    <t>งานพัฒนาหลักสูตร</t>
  </si>
  <si>
    <t>โครงการ พัฒนาแผนกช่างยนต์ โต๊ะปฏิบัติงานช่างยนต์</t>
  </si>
  <si>
    <t>โครงการ ปรับปรุงห้องเครื่องมือแผนกช่างยนต์</t>
  </si>
  <si>
    <t>โครงการ พัฒนาปรับปรุงวัสดุฝึกสำหรับการเรียนการสอนรายวิชางานเครื่องยนต์เล็กแก๊สโซลีนและดีเซล</t>
  </si>
  <si>
    <t>โครงการ ศึกษาดูงานในสถานประกอบการ นักเรียน นักศึกษาแผนกวิชาช่างยนต์</t>
  </si>
  <si>
    <t>นิเทศนักเรียน นักศึกษาฝึกอาชีพและฝึกประสบการณ์วิชาชีพในสถานประกอบการ</t>
  </si>
  <si>
    <t>โครงการปรับปรุงซ่อมแซมโรงฝึกงานแผนกวิชาช่างก่อสร้าง</t>
  </si>
  <si>
    <t>โครงการศึกษาดูงาน ประจำปีการศึกษา 2569 แผนกวิชาช่างก่อสร้าง</t>
  </si>
  <si>
    <t>แผนกก่อสร้าง</t>
  </si>
  <si>
    <t>โครงการจัดซื้อวัสดุสำนักงาน ประจำปีงบประมาณ 2569</t>
  </si>
  <si>
    <t>พัสดุ</t>
  </si>
  <si>
    <t xml:space="preserve">ทดสอบทางการศึกษาระดับชาติ v-net ประจำปีการศึกษา 2568   </t>
  </si>
  <si>
    <t>โครงการจัดซื้อวัสดุ/อุปกรณ์  ซ่อมแซมงานอาคารสถานที่</t>
  </si>
  <si>
    <t xml:space="preserve">โครงการตรวจสอบความมั่นคง ความแข็งแรง และความปลอดภัยของอาคารสถานที่ </t>
  </si>
  <si>
    <t>โครงการปรับปรุงซ่อมแซมอาคารสถานที่</t>
  </si>
  <si>
    <t xml:space="preserve">โครงการปรับปรุงภูมิทัศน์อาคารสถานที่และพัฒนาสิ่งแวดล้อม </t>
  </si>
  <si>
    <t>งานอาคารสถานที่</t>
  </si>
  <si>
    <t>โครงการจัดทำป้ายประชาสัมพันธ์ และเผยแพร่เอกลักษณ์อัตลักษณ์ วิทยาลัย ฯ ประจำปี 2569</t>
  </si>
  <si>
    <t>โครงการจัดหาครุภัณฑ์และซ่อมแซมครุภัณฑ์ในงานประชาสัมพันธ์ ประจำปีงบประมาณ 2569</t>
  </si>
  <si>
    <t>โครงการสอบธรรมศึกษา สร้างความดีเยาวชนไทย  ประจำปีการศึกษา 2568</t>
  </si>
  <si>
    <t>โครงการศึกษาดูงาน ประจำปีการศึกษา 2569</t>
  </si>
  <si>
    <t>โครงการแข่งขันทักษะวิชาชีพวิชาชีพบัญชี ประจำปีการศึกษา 2568</t>
  </si>
  <si>
    <t>โครงการซ่อมแซมครุภัณฑ์การศึกษา</t>
  </si>
  <si>
    <t>แผนกการบัญชี</t>
  </si>
  <si>
    <t>แผนกเทคโนโลยีสารสนเทศ</t>
  </si>
  <si>
    <t>แผนกสามัญสัมพันธ์</t>
  </si>
  <si>
    <t>โครงการอบรมการพัฒนาและประยุกต์ใช้งาน AI บนระบบสมองกลฝังตัว</t>
  </si>
  <si>
    <t>โครงการจ้างเหมาบริการแม่บ้าน</t>
  </si>
  <si>
    <t>โครงการประชุมเชิงปฏิบัติการ การจัดทำแผนปฏิบัติราชการประจำปีงบประมาณ พ.ศ. 2570</t>
  </si>
  <si>
    <t>โครงการประชุมพิจารณาแผนปฏิบัติราชการประจำปีงบประมาณ พ.ศ. 2569</t>
  </si>
  <si>
    <t>งานวางแผนและงบประมาณ</t>
  </si>
  <si>
    <t>งานวิจัย พัฒนาฯ</t>
  </si>
  <si>
    <t>โครงการส่งเสริมการประกอบอาชีพอิสระในกลุ่มผู้เรียนอาชีวศึกษา</t>
  </si>
  <si>
    <t>งานส่งเสริมผลิตผลการค้าฯ</t>
  </si>
  <si>
    <t>โครงการระดมทุนและทรัพยากรเพื่อการศึกษาของนักเรียน นักศึกษา วิทยาลัยการอาชีพแม่สะเรียง</t>
  </si>
  <si>
    <t>งานครูที่ปรึกษา</t>
  </si>
  <si>
    <t>งานแนะแนวฯ</t>
  </si>
  <si>
    <t>งานเอกสารงานพิมพ์</t>
  </si>
  <si>
    <t>โครงการศึกษาดูงานในสถานประกอบการ แผนกวิชาการบัญชี ประจำปีการศึกษา 2569</t>
  </si>
  <si>
    <t>โครงการนิเทศการจัดการเรียนการสอน</t>
  </si>
  <si>
    <t>โครงการทดสอบมาตรฐานวิชาชีพ ประจำปีการศึกษา 2568</t>
  </si>
  <si>
    <t>โครงการทดสอบความรู้ความถนัดทางวิชาชีพของนักเรียนประกาศนียบัตรวิชาชีพ (ปวช.)และประกาศนียบัตรวิชาชีพชั้นสูง (ปวส.) ประจำปีการศึกษา 2569</t>
  </si>
  <si>
    <t xml:space="preserve">โครงการทดสอบทางการศึกษาระดับชาติ v-net ประจำปีการศึกษา 2568   </t>
  </si>
  <si>
    <t>โครงการสัปดาห์ห้องสมุด</t>
  </si>
  <si>
    <t>โครงการพัฒนาและปรับปรุงห้องสมุด</t>
  </si>
  <si>
    <t>โครงการนิเทศนักเรียน นักศึกษาฝึกอาชีพและฝึกประสบการณ์วิชาชีพในสถานประกอบการ</t>
  </si>
  <si>
    <t>โครงการปฐมนิเทศการฝึกประสบการณ์วิชาชีพของนักเรียน นักศึกษาระบบทวิภาคี ประจำปีการศึกษา
2569</t>
  </si>
  <si>
    <t>โครงการปัจฉิมนิเทศนักเรียน นักศึกษาฝึกอาชีพและฝึกประสบการณ์วิชาชีพในสถานประกอบการ ประจำปีการศึกษา 2568</t>
  </si>
  <si>
    <t>โครงการศึกษาดูงานในสถานประกอบการ แผนกช่างไฟฟ้า ประจำปีการศึกษา 2569</t>
  </si>
  <si>
    <t>โครงการจัดซื้อโต๊ะพร้อมเก้าอี้สำหรับผู้เรียนสาขาวิชาการบัญชี</t>
  </si>
  <si>
    <t>โครงการสัมมนาเชิงปฏิบัติการวิชาชีพบัญชี</t>
  </si>
  <si>
    <t>โครงการ วันนวมินทรมหาราช ประจำปีพุทธศักราช 2568</t>
  </si>
  <si>
    <t>โครงการ วันปิยมหาราช  ประจำปีการศึกษา 2568</t>
  </si>
  <si>
    <t>โครงการ ประเมินผลการดำเนินงานองค์การมาตรฐานดีเด่น ประจำปีการศึกษา 2568</t>
  </si>
  <si>
    <t>โครงการ แห่เทียนเหงประเพณีออกหว่าเทศกาลออกพรรษา ประจำปีการศึกษา 2568</t>
  </si>
  <si>
    <t>โครงการ สืบสานและอนุรักษ์ประเพณีลอยกระทง ประจำปีการศึกษา 2568</t>
  </si>
  <si>
    <t>โครงการ แข่งขันกีฬาภายในต้านภัยยาเสพติด  ประจำปีการศึกษา 2568</t>
  </si>
  <si>
    <t>โครงการเชิดชูเกียรติผู้นำที่สำเร็จการศึกษา  ประจำปีการศึกษา 2568</t>
  </si>
  <si>
    <t>โครงการ สร้างแนวป้องกันไฟป่ารอบวิทยาลัยฯ  ประจำปี 2569</t>
  </si>
  <si>
    <t>โครงการ แห่พระพุทธรูปประเพณีสงกรานต์  ประจำปี 2569</t>
  </si>
  <si>
    <t>โครงการ อบรมคุณธรรม จริยธรรมนักเรียน นักศึกษาใหม่ ประจำปีการศึกษา 2569</t>
  </si>
  <si>
    <t xml:space="preserve">โครงการ เฉลิมพระเกียรติสมเด็จพระนางเจ้าสุทิดาฯ พระบรมราชินี เนื่องในโอกาสวันเฉลิมพระชนมพรรษา ประจำปีพุทธศักราช 2569
</t>
  </si>
  <si>
    <t>โครงการ วันต้นไม้ประจำปีของชาติ  ประจำปีการศึกษา 2569</t>
  </si>
  <si>
    <t>โครงการ ปฐมนิเทศสมาชิกชมรมวิชาชีพ ประจำปีการศึกษา 2569</t>
  </si>
  <si>
    <t>โครงการทำบุญวันสถาปนาวิทยาลัยการอาชีพแม่สะเรียง</t>
  </si>
  <si>
    <t>โครงการ วันไหว้ครู ประจำปีการศึกษา 2569</t>
  </si>
  <si>
    <t>โครงการ อบรมผู้นำคู่คุณธรรม ตามหลักธรรมาภิบาลในสถานศึกษา ประจำปีการศึกษา 2569</t>
  </si>
  <si>
    <t xml:space="preserve">โครงการ เฉลิมพระเกียรติพระบาทสมเด็จพระเจ้าอยู่หัว เนื่องในโอกาสวันเฉลิมพระชนมพรรษา ประจำปีพุทธศักราช 2569
</t>
  </si>
  <si>
    <t>โครงการ แห่เทียนพรรษา ประจำปีการศึกษา 2569</t>
  </si>
  <si>
    <t xml:space="preserve">โครงการ เฉลิมพระเกียรติสมเด็จพระนางเจ้าสิริกิติ์ พระบรมราชินีนาถ พระบรมราชชนนีพันปีหลวง เนื่องในโอกาสวันเฉลิมพระชนมพรรษา ประจำปีพุทธศักราช  2569
</t>
  </si>
  <si>
    <t>โครงการพิธีประดับแถบสองสี เตรียมลูกเสือวิสามัญ ประจำปีการศึกษา 2569</t>
  </si>
  <si>
    <t>โครงการ เลือกตั้งนายกองค์การนักวิชาชีพในอนาคตแห่งประเทศไทย ประจำปีการศึกษา 2569</t>
  </si>
  <si>
    <t>โครงการ ประเมินผลการดำเนินงานชมรมวิชาชีพดีเด่น  ประจำปีการศึกษา 2569</t>
  </si>
  <si>
    <t>โครงการ เดินทางไกลและเข้าค่ายพักแรมของลูกเสือวิสามัญ ประจำปีการศึกษา 2569</t>
  </si>
  <si>
    <t>โครงการ น้ำใจคนพันธุ์ R ต้านภัยหนาว ครั้งที่ 12</t>
  </si>
  <si>
    <t>โครงการ เลือกตั้งคณะกรรมการดำเนินงานชมรม To Be Number One</t>
  </si>
  <si>
    <t>โครงการ ส่งเสริมการเรียนรู้วัฒนธรรมอาเซียน</t>
  </si>
  <si>
    <t>โครงการ ไอทีเทคเซอร์วิส  ประจำปีการศึกษา 2568</t>
  </si>
  <si>
    <t>โครงการ เลือกตั้งคณะกรรมการชมรมวิชาชีพเทคโนโลยีสารสนเทศ ประจำปีการศึกษา 2569</t>
  </si>
  <si>
    <t>โครงการ บำรุงรักษาคอมพิวเตอร์ ประจำปีการศึกษา 2569</t>
  </si>
  <si>
    <t>โครงการ กีฬาไฟฟ้าต้านภัยยาเสพติด (ตะกร้อคัพ)  ครั้งที่ 1</t>
  </si>
  <si>
    <t>โครงการ เลือกตั้งคณะกรรมการดำเนินงานชมรมวิชาชีพช่างไฟฟ้า</t>
  </si>
  <si>
    <t>โครงการ ปรับปรุงรักษา และซ่อมแซมอุปกรณ์เครื่องใช้ไฟฟ้าพัดลม ภายในวิทยาลัย ฯ</t>
  </si>
  <si>
    <t>โครงการ มาตรการการลดใช้พลังงานไฟฟ้า ภายในวิทยาลัยการอาชีพแม่สะเรียง</t>
  </si>
  <si>
    <t>โครงการ ขับขี่ปลอดภัยสร้างวินัยจราจร</t>
  </si>
  <si>
    <t>โครงการ เลือกตั้งประธานชมรมวิชาชีพช่างยนต์ ประจำปีการศึกษา 2569</t>
  </si>
  <si>
    <t>โครงการ แข่งกีฬาฟุตบอลภายในแผนก Auto cup 2025</t>
  </si>
  <si>
    <t>โครงการส่งเสริมการประกอบอาชีพอิสระในกลุ่มผู้เรียนอาชีวศึกษา ประจำปีการศึกษา 2569</t>
  </si>
  <si>
    <t>โครงการ ประกวดสิ่งประดิษฐ์จากวัสดุเหลือใช้</t>
  </si>
  <si>
    <t>โครงการแข่งขันฟุตบอล 3 คน</t>
  </si>
  <si>
    <t>โครงการจิตอาสาชมรมวิชาชีพช่างก่อสร้าง</t>
  </si>
  <si>
    <t>โครงการเลือกตั้งประธานชมรมวิชาชีพช่างก่อสร้าง</t>
  </si>
  <si>
    <t>-</t>
  </si>
  <si>
    <t xml:space="preserve">โครงการ อนุรักษ์สิ่งแวดล้อมและพันธุ์พืช </t>
  </si>
  <si>
    <t>โครงการ รักษ์ภาษาไทย ประจำปีการศึกษา 2568</t>
  </si>
  <si>
    <t>โครงการ วันวิทยาศาสตร์แห่งชาติ</t>
  </si>
  <si>
    <t>โครงการประกวดผลงานสิ่งประดิษฐ์ของคนรุ่นใหม่  ประจำปีการศึกษา 2569 ****</t>
  </si>
  <si>
    <t>โครงการสร้างองค์ความรู้ทางการอาชีวศึกษาเพื่อถ่ายทอดเทคโนโลยี ประจำปีการศึกษา ****</t>
  </si>
  <si>
    <t>โครงการจัดซื้อครุภัณฑ์ในการพัฒนาวัตกรรมสิ่งประดิษฐ์ ****</t>
  </si>
  <si>
    <t>โครงการแนะแนวการศึกษาต่อ วิทยาลัยการอาชีพแม่สะเรียง****</t>
  </si>
  <si>
    <t>โครงการพัฒนาหลักสูตรร่วมกับสถานประกอบการ ประจำปีการศึกษา 2569****</t>
  </si>
  <si>
    <t>คาดว่าจะได้รับ ปีงบ 2569</t>
  </si>
  <si>
    <t>งบประมาณที่ขอ ปีงบ2569</t>
  </si>
  <si>
    <t>รวม</t>
  </si>
  <si>
    <t xml:space="preserve">                                                               งานวางแผนและงบประมาณ ฝ่ายแผนงานและความร่วมมือ วิทยาลัยการอาชีพแม่สะเรียง                                                                                   </t>
  </si>
  <si>
    <t>หมวดเงินที่ได้รับจัดสรร/โครงการ</t>
  </si>
  <si>
    <t>คาดว่าได้รับจัดสรร ปีงบ 69</t>
  </si>
  <si>
    <t>งบดำเนินงาน ปวช.</t>
  </si>
  <si>
    <t>งบดำเนินงาน ปวส.</t>
  </si>
  <si>
    <t>งบดำเนินงาน ระยะสั้น.</t>
  </si>
  <si>
    <t>รวมงบดำเนินงาน</t>
  </si>
  <si>
    <t>ค่าสาธารณูปโภค</t>
  </si>
  <si>
    <t>งบดำเนินงาน ผลผลิต ระยะสั้น</t>
  </si>
  <si>
    <t>รวมค่าสาธารณูปโภค</t>
  </si>
  <si>
    <t>แผนงบประมาณ:สนับสนุนการจัดการศึกษาขั้นพื้นฐาน:งบอุดหนุนทั่วไป</t>
  </si>
  <si>
    <t xml:space="preserve"> 5,181,732.83 (ปีงบ 67)</t>
  </si>
  <si>
    <t>งบบำรุงการศึกษา</t>
  </si>
  <si>
    <t>ยอดใช้ไป งบ บกศ.</t>
  </si>
  <si>
    <t>ค่าวัสดุฝึก</t>
  </si>
  <si>
    <t>ค่าไปราชการ</t>
  </si>
  <si>
    <t>ค่าน้ำมัน</t>
  </si>
  <si>
    <t>คงเหลือ(โครงการ)</t>
  </si>
  <si>
    <t>เงินเดือน</t>
  </si>
  <si>
    <t>ค่าสอน</t>
  </si>
  <si>
    <t>ค่าธุรการ</t>
  </si>
  <si>
    <t>ค่าประกันสังคม(โครงการ)</t>
  </si>
  <si>
    <t>คาดการณ์ ปวช.</t>
  </si>
  <si>
    <t>คาดการณ์ ปวส.</t>
  </si>
  <si>
    <t>รอเบิกจ่าย งบดำเนินงาน ปวช.,ปวส. (ค่าสอนครู,ค่าธรุการ,ไปราชการ,ค่าน้ำมัน,ค่าวัสดุฝึก,ประกันสังคม)</t>
  </si>
  <si>
    <t>คงเหลือ(ส่วนต่าง)</t>
  </si>
  <si>
    <t>คิดเป็นร้อยละ 84 ของปีงบ 2568</t>
  </si>
  <si>
    <t>ยอดเมื่อวันที่ 24 ก.ค. 68</t>
  </si>
  <si>
    <t xml:space="preserve">รวมได้รับจัดสรร </t>
  </si>
  <si>
    <t>ปีงบ 68</t>
  </si>
  <si>
    <t>ใช้ไป ปีงบ 2568</t>
  </si>
  <si>
    <t>ใช้ไป ปีงบ 2569</t>
  </si>
  <si>
    <t>(ค่าจัดการเรียนการสอน)</t>
  </si>
  <si>
    <t>คาดการณ์ ค่าจัดการเรียนการสอน</t>
  </si>
  <si>
    <t xml:space="preserve">รอเบิกจ่าย งบ ปวช.,ปวส. (เงินเดือนครู/เจ้าหน้าที่,ค่าสอน,ค่าธุรการ) ทั้งปีงบประมาณ </t>
  </si>
  <si>
    <t xml:space="preserve">รอเบิกจ่าย งบ บกศ (โครงการภายในวิทยาลัย ) ทั้งปีงบประมาณ </t>
  </si>
  <si>
    <t>คาดการณ์ บกศ 2569</t>
  </si>
  <si>
    <t>โครงการ คาดว่าใช้ บกศ</t>
  </si>
  <si>
    <t>โครงการ คาดว่าใช้ งบดำเนินงาน</t>
  </si>
  <si>
    <t>แผนงบประมาณ:[บำรุงการศึกษา (บกศ.) 2569</t>
  </si>
  <si>
    <t>สามัญสัมพันธ์</t>
  </si>
  <si>
    <t>โครงการศึกษาดูงานในสถานประกอบการ แผนกวิชาการเทคโนโลยีสารสนเทศ ประจำปีการศึกษา 2569</t>
  </si>
  <si>
    <t>โครงการจัดจ้างตรวจสอบความปลอดภัยงานอาคาร เพื่อบํารุงรักษาและพัฒนา</t>
  </si>
  <si>
    <t>โครงการจัดจ้างปรับปรุงซ่อมแซมอาคารสถานที่</t>
  </si>
  <si>
    <t>โครงการจัดซื้อวัสดุงานบ้านงานครัวสำนักงาน งานอาคารสถานที่</t>
  </si>
  <si>
    <t>จัดจ้างครูผู้สอนและบุคลากรทางการศึกษาในสาขาที่ขาดแคลน</t>
  </si>
  <si>
    <t>โครงการพัฒนาการประกันคุณภาพ</t>
  </si>
  <si>
    <t>งานประกันฯ</t>
  </si>
  <si>
    <t>โครงการ ซ่อมแซมห้องเครื่องมือแผนกช่างยนต์</t>
  </si>
  <si>
    <t>โครงการ ซ่อมแซมวัสดุฝึกสำหรับการเรียนการสอนรายวิชางานเครื่องยนต์เล็กแก๊สโซลีนและดีเซล</t>
  </si>
  <si>
    <t>โครงการเทคโนโลยีนวัฒกรรมการเรียนรู้การอนุรักษ์พลังงาน สำหรับนายช่างไฟฟ้าสู่สถานประกอบการ (ระบุชื่อว่าอบรม หรือสัมนา หรือ....</t>
  </si>
  <si>
    <t>โครงการ ซ่อมแซมโรงฝึกงานแผนกวิชาช่างก่อสร้าง</t>
  </si>
  <si>
    <t>โครงการ แข่งขันทักษะภาษาอังกฤษ ประจำปีการศึกษา 2568</t>
  </si>
  <si>
    <t>งานสวนพฤกษ</t>
  </si>
  <si>
    <t xml:space="preserve">โครงการ เลือกตั้งประธานชมรมวิชาชีพการบัญชี </t>
  </si>
  <si>
    <t>งานกิจกรรมฯ</t>
  </si>
  <si>
    <t>ชมรม To be number one</t>
  </si>
  <si>
    <t>ชมรมเทคโนโลยีสารสนเทศ</t>
  </si>
  <si>
    <t>ชมรมช่างไฟฟ้า</t>
  </si>
  <si>
    <t>โครงการ 5 ส (สะสาง สะดวก สุขลักษณะ สะอาด สร้างนิสัย) ปีการศึกษา 2569</t>
  </si>
  <si>
    <t>ชมรมช่างยนต์</t>
  </si>
  <si>
    <t>ชมรมการบัญชี</t>
  </si>
  <si>
    <t>ชมรมช่างก่อสร้าง</t>
  </si>
  <si>
    <t xml:space="preserve">โครงการปรับปรุงสนามกีฬา วิทยาลัยการอาชีพแม่สะเรียง </t>
  </si>
  <si>
    <t>โครงการจัดซื้อครุภัณฑ์สำหรับใช้ในการจัดการเรียนการสอนแผนกวิชาช่างก่อสร้าง</t>
  </si>
  <si>
    <t>งบลงทุน</t>
  </si>
  <si>
    <t>โครงการจัดซื้อครุภัณฑ์สำนักงาน (ศูนย์เรียนรู้การพัฒนาเทคโนโลยี Coding และหุ่นยนต์เพื่อชุมชน) แผนกเทคโนโลยีสารสนเทศ</t>
  </si>
  <si>
    <t>รวมยอดโครงการงานกิจกรรมชมรม (44โครงการ)</t>
  </si>
  <si>
    <t>โครงการอบรมเชิงปฏิบัติการจัดทำแผนการเรียนรู้ตามหลักสูตรสมรรถนะและการวัดและประเมินผลตามสภาพจริง สำหรับครูอาชีวศึกษา</t>
  </si>
  <si>
    <t>โครงการแข่งขันทักษะวิชาชีพระดับภาค และชาติ ประจำปีการศึกษา 2568</t>
  </si>
  <si>
    <t>โครงการ ประชุมวิชาการองค์การนักวิชาชีพในอนาคตแห่งประเทศไทยและแข่งขันทักษะวิชาชีพ ทักษะพื้นฐาน ระดับสถานศึกษา ระดับอศจ. ประจำปีการศึกษา 2568</t>
  </si>
  <si>
    <t>โครงการส่งเสริมสืบสานประเพณีทางวัฒนธรรม ประจำปีงบประมาณ 2569</t>
  </si>
  <si>
    <t>ไม่ใช้งบประมาณ</t>
  </si>
  <si>
    <t>โครงการ จัดทำโต๊ะปฏิบัติงานแผนกช่างยนต์</t>
  </si>
  <si>
    <t>โครงการ การจัดสภาพแวดล้อมสำหรับการเรียนรู้ ซ่อมบำรุง ครุภัณฑ์ แผนกเทคนิคพื้นฐาน</t>
  </si>
  <si>
    <t>4200 ปวช.</t>
  </si>
  <si>
    <t>25,684 ปวช.</t>
  </si>
  <si>
    <t>10,730 ปวช.</t>
  </si>
  <si>
    <t>แก้ไขล่าสุด 2/12/2568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</si>
</sst>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_-* #,##0.00_-;\-* #,##0.00_-;_-* &quot;-&quot;??_-;_-@_-"/>
    <numFmt numFmtId="188" formatCode="_-* #,##0_-;\-* #,##0_-;_-* &quot;-&quot;??_-;_-@_-"/>
  </numFmts>
  <fonts count="3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b/>
      <sz val="16"/>
      <color theme="1"/>
      <name val="Wingdings 2"/>
      <family val="1"/>
      <charset val="2"/>
    </font>
    <font>
      <sz val="16"/>
      <color rgb="FFFF0000"/>
      <name val="TH SarabunPSK"/>
      <family val="2"/>
    </font>
    <font>
      <sz val="16"/>
      <color theme="1"/>
      <name val="TH SarabunIT๙"/>
      <family val="2"/>
    </font>
    <font>
      <sz val="11"/>
      <color rgb="FF9C5700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name val="Tahoma"/>
      <family val="2"/>
      <charset val="222"/>
      <scheme val="minor"/>
    </font>
    <font>
      <u/>
      <sz val="11"/>
      <color theme="10"/>
      <name val="Tahoma"/>
      <family val="2"/>
      <scheme val="minor"/>
    </font>
    <font>
      <sz val="16"/>
      <color theme="1"/>
      <name val="Angsana New"/>
      <family val="1"/>
    </font>
    <font>
      <sz val="11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u val="double"/>
      <sz val="16"/>
      <color theme="1"/>
      <name val="Angsana New"/>
      <family val="1"/>
    </font>
    <font>
      <sz val="16"/>
      <name val="Angsana New"/>
      <family val="1"/>
    </font>
    <font>
      <sz val="14"/>
      <name val="Angsana New"/>
      <family val="1"/>
    </font>
    <font>
      <b/>
      <u/>
      <sz val="16"/>
      <color theme="1"/>
      <name val="Angsana New"/>
      <family val="1"/>
    </font>
    <font>
      <b/>
      <sz val="12"/>
      <color theme="1"/>
      <name val="Angsana New"/>
      <family val="1"/>
    </font>
    <font>
      <sz val="18"/>
      <name val="Angsana New"/>
      <family val="1"/>
    </font>
    <font>
      <b/>
      <sz val="15"/>
      <name val="TH SarabunPSK"/>
      <family val="2"/>
    </font>
    <font>
      <sz val="15"/>
      <name val="TH SarabunPSK"/>
      <family val="2"/>
    </font>
    <font>
      <b/>
      <u/>
      <sz val="15"/>
      <name val="TH SarabunPSK"/>
      <family val="2"/>
    </font>
    <font>
      <sz val="14"/>
      <name val="TH SarabunPSK"/>
      <family val="2"/>
    </font>
    <font>
      <b/>
      <sz val="15"/>
      <color rgb="FFFF0000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CC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187" fontId="2" fillId="0" borderId="0" applyFont="0" applyFill="0" applyBorder="0" applyAlignment="0" applyProtection="0"/>
    <xf numFmtId="0" fontId="9" fillId="4" borderId="0" applyNumberFormat="0" applyBorder="0" applyAlignment="0" applyProtection="0"/>
    <xf numFmtId="0" fontId="2" fillId="5" borderId="0" applyNumberFormat="0" applyBorder="0" applyAlignment="0" applyProtection="0"/>
    <xf numFmtId="0" fontId="10" fillId="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</cellStyleXfs>
  <cellXfs count="239">
    <xf numFmtId="0" fontId="0" fillId="0" borderId="0" xfId="0"/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188" fontId="3" fillId="0" borderId="1" xfId="1" applyNumberFormat="1" applyFont="1" applyFill="1" applyBorder="1" applyAlignment="1">
      <alignment horizontal="right" vertical="top"/>
    </xf>
    <xf numFmtId="188" fontId="4" fillId="0" borderId="1" xfId="1" applyNumberFormat="1" applyFont="1" applyFill="1" applyBorder="1" applyAlignment="1">
      <alignment horizontal="right" vertical="top"/>
    </xf>
    <xf numFmtId="187" fontId="4" fillId="0" borderId="1" xfId="1" applyFont="1" applyFill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188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188" fontId="3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188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wrapText="1"/>
    </xf>
    <xf numFmtId="187" fontId="3" fillId="0" borderId="0" xfId="1" applyFont="1"/>
    <xf numFmtId="187" fontId="3" fillId="0" borderId="1" xfId="1" applyFont="1" applyBorder="1" applyAlignment="1">
      <alignment horizontal="center" vertical="center"/>
    </xf>
    <xf numFmtId="187" fontId="3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9" xfId="0" applyFont="1" applyBorder="1"/>
    <xf numFmtId="187" fontId="3" fillId="0" borderId="9" xfId="1" applyFont="1" applyBorder="1"/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center"/>
    </xf>
    <xf numFmtId="0" fontId="3" fillId="0" borderId="2" xfId="0" applyFont="1" applyBorder="1"/>
    <xf numFmtId="187" fontId="3" fillId="0" borderId="2" xfId="1" applyFont="1" applyBorder="1"/>
    <xf numFmtId="0" fontId="3" fillId="0" borderId="10" xfId="0" applyFont="1" applyBorder="1" applyAlignment="1">
      <alignment horizontal="center"/>
    </xf>
    <xf numFmtId="0" fontId="3" fillId="0" borderId="4" xfId="0" applyFont="1" applyBorder="1"/>
    <xf numFmtId="187" fontId="3" fillId="0" borderId="4" xfId="1" applyFont="1" applyBorder="1"/>
    <xf numFmtId="0" fontId="3" fillId="0" borderId="5" xfId="0" applyFont="1" applyBorder="1"/>
    <xf numFmtId="0" fontId="3" fillId="0" borderId="7" xfId="0" applyFont="1" applyBorder="1"/>
    <xf numFmtId="187" fontId="3" fillId="0" borderId="7" xfId="1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4" xfId="0" applyFont="1" applyBorder="1"/>
    <xf numFmtId="187" fontId="3" fillId="0" borderId="11" xfId="1" applyFont="1" applyBorder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0" fontId="3" fillId="2" borderId="4" xfId="0" applyFont="1" applyFill="1" applyBorder="1"/>
    <xf numFmtId="0" fontId="3" fillId="0" borderId="15" xfId="0" applyFont="1" applyBorder="1"/>
    <xf numFmtId="187" fontId="3" fillId="0" borderId="15" xfId="1" applyFont="1" applyBorder="1"/>
    <xf numFmtId="187" fontId="3" fillId="0" borderId="0" xfId="0" applyNumberFormat="1" applyFont="1"/>
    <xf numFmtId="0" fontId="7" fillId="0" borderId="5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2" xfId="0" applyFont="1" applyBorder="1"/>
    <xf numFmtId="0" fontId="7" fillId="0" borderId="11" xfId="0" applyFont="1" applyBorder="1"/>
    <xf numFmtId="0" fontId="7" fillId="0" borderId="1" xfId="0" applyFont="1" applyBorder="1"/>
    <xf numFmtId="0" fontId="7" fillId="0" borderId="9" xfId="0" applyFont="1" applyBorder="1"/>
    <xf numFmtId="0" fontId="7" fillId="0" borderId="14" xfId="0" applyFont="1" applyBorder="1"/>
    <xf numFmtId="187" fontId="3" fillId="0" borderId="0" xfId="1" applyFont="1" applyAlignment="1">
      <alignment vertical="top"/>
    </xf>
    <xf numFmtId="0" fontId="11" fillId="4" borderId="0" xfId="2" applyFont="1" applyAlignment="1">
      <alignment vertical="top"/>
    </xf>
    <xf numFmtId="0" fontId="5" fillId="0" borderId="0" xfId="0" applyFont="1" applyAlignment="1">
      <alignment vertical="top"/>
    </xf>
    <xf numFmtId="187" fontId="5" fillId="0" borderId="0" xfId="1" applyFont="1" applyAlignment="1">
      <alignment vertical="top"/>
    </xf>
    <xf numFmtId="0" fontId="12" fillId="4" borderId="0" xfId="2" applyFont="1" applyAlignment="1">
      <alignment vertical="top"/>
    </xf>
    <xf numFmtId="188" fontId="5" fillId="0" borderId="0" xfId="0" applyNumberFormat="1" applyFont="1" applyAlignment="1">
      <alignment vertical="top"/>
    </xf>
    <xf numFmtId="0" fontId="14" fillId="0" borderId="0" xfId="5" applyFont="1"/>
    <xf numFmtId="43" fontId="14" fillId="0" borderId="0" xfId="6" applyFont="1"/>
    <xf numFmtId="0" fontId="14" fillId="0" borderId="0" xfId="0" applyFont="1"/>
    <xf numFmtId="0" fontId="20" fillId="7" borderId="1" xfId="5" applyFont="1" applyFill="1" applyBorder="1" applyAlignment="1">
      <alignment horizontal="center" vertical="center"/>
    </xf>
    <xf numFmtId="0" fontId="20" fillId="7" borderId="1" xfId="5" applyFont="1" applyFill="1" applyBorder="1"/>
    <xf numFmtId="0" fontId="18" fillId="2" borderId="1" xfId="5" applyFont="1" applyFill="1" applyBorder="1" applyAlignment="1">
      <alignment horizontal="center"/>
    </xf>
    <xf numFmtId="0" fontId="14" fillId="2" borderId="1" xfId="5" applyFont="1" applyFill="1" applyBorder="1" applyAlignment="1">
      <alignment horizontal="center" vertical="center"/>
    </xf>
    <xf numFmtId="43" fontId="14" fillId="0" borderId="0" xfId="6" applyFont="1" applyAlignment="1">
      <alignment horizontal="center"/>
    </xf>
    <xf numFmtId="43" fontId="14" fillId="2" borderId="1" xfId="6" applyFont="1" applyFill="1" applyBorder="1"/>
    <xf numFmtId="0" fontId="14" fillId="0" borderId="0" xfId="5" applyFont="1" applyAlignment="1">
      <alignment vertical="center"/>
    </xf>
    <xf numFmtId="43" fontId="18" fillId="0" borderId="0" xfId="6" applyFont="1" applyAlignment="1">
      <alignment horizontal="center"/>
    </xf>
    <xf numFmtId="9" fontId="18" fillId="0" borderId="0" xfId="7" applyFont="1" applyAlignment="1">
      <alignment horizontal="center"/>
    </xf>
    <xf numFmtId="43" fontId="14" fillId="0" borderId="1" xfId="6" applyFont="1" applyBorder="1"/>
    <xf numFmtId="0" fontId="14" fillId="0" borderId="1" xfId="0" applyFont="1" applyBorder="1" applyAlignment="1">
      <alignment horizontal="center"/>
    </xf>
    <xf numFmtId="0" fontId="18" fillId="0" borderId="0" xfId="0" applyFont="1"/>
    <xf numFmtId="43" fontId="14" fillId="8" borderId="1" xfId="6" applyFont="1" applyFill="1" applyBorder="1" applyAlignment="1">
      <alignment horizontal="center"/>
    </xf>
    <xf numFmtId="43" fontId="14" fillId="8" borderId="1" xfId="0" applyNumberFormat="1" applyFont="1" applyFill="1" applyBorder="1"/>
    <xf numFmtId="43" fontId="14" fillId="8" borderId="1" xfId="6" applyFont="1" applyFill="1" applyBorder="1"/>
    <xf numFmtId="0" fontId="14" fillId="0" borderId="0" xfId="5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43" fontId="14" fillId="9" borderId="1" xfId="6" applyFont="1" applyFill="1" applyBorder="1"/>
    <xf numFmtId="0" fontId="14" fillId="9" borderId="1" xfId="0" applyFont="1" applyFill="1" applyBorder="1" applyAlignment="1">
      <alignment horizontal="center"/>
    </xf>
    <xf numFmtId="43" fontId="23" fillId="0" borderId="0" xfId="6" applyFont="1" applyAlignment="1">
      <alignment horizontal="center"/>
    </xf>
    <xf numFmtId="43" fontId="23" fillId="0" borderId="0" xfId="6" applyFont="1" applyAlignment="1"/>
    <xf numFmtId="0" fontId="20" fillId="0" borderId="1" xfId="5" applyFont="1" applyBorder="1" applyAlignment="1">
      <alignment horizontal="center" vertical="center"/>
    </xf>
    <xf numFmtId="0" fontId="21" fillId="0" borderId="1" xfId="5" applyFont="1" applyBorder="1"/>
    <xf numFmtId="43" fontId="14" fillId="0" borderId="1" xfId="6" applyFont="1" applyFill="1" applyBorder="1"/>
    <xf numFmtId="0" fontId="14" fillId="3" borderId="1" xfId="0" applyFont="1" applyFill="1" applyBorder="1" applyAlignment="1">
      <alignment horizontal="center"/>
    </xf>
    <xf numFmtId="43" fontId="14" fillId="3" borderId="1" xfId="6" applyFont="1" applyFill="1" applyBorder="1"/>
    <xf numFmtId="0" fontId="14" fillId="0" borderId="1" xfId="5" applyFont="1" applyBorder="1"/>
    <xf numFmtId="0" fontId="0" fillId="2" borderId="1" xfId="0" applyFill="1" applyBorder="1"/>
    <xf numFmtId="0" fontId="14" fillId="10" borderId="1" xfId="5" applyFont="1" applyFill="1" applyBorder="1"/>
    <xf numFmtId="43" fontId="14" fillId="10" borderId="1" xfId="6" applyFont="1" applyFill="1" applyBorder="1"/>
    <xf numFmtId="0" fontId="17" fillId="0" borderId="0" xfId="5" applyFont="1" applyAlignment="1">
      <alignment vertical="center"/>
    </xf>
    <xf numFmtId="0" fontId="17" fillId="0" borderId="1" xfId="5" applyFont="1" applyBorder="1"/>
    <xf numFmtId="0" fontId="18" fillId="0" borderId="0" xfId="5" applyFont="1" applyAlignment="1">
      <alignment vertical="center"/>
    </xf>
    <xf numFmtId="0" fontId="20" fillId="7" borderId="2" xfId="5" applyFont="1" applyFill="1" applyBorder="1" applyAlignment="1">
      <alignment horizontal="center" vertical="center"/>
    </xf>
    <xf numFmtId="0" fontId="20" fillId="7" borderId="2" xfId="5" applyFont="1" applyFill="1" applyBorder="1"/>
    <xf numFmtId="0" fontId="14" fillId="0" borderId="0" xfId="5" applyFont="1" applyAlignment="1">
      <alignment horizontal="center" vertical="center"/>
    </xf>
    <xf numFmtId="0" fontId="19" fillId="0" borderId="0" xfId="5" applyFont="1"/>
    <xf numFmtId="0" fontId="14" fillId="0" borderId="17" xfId="5" applyFont="1" applyBorder="1" applyAlignment="1">
      <alignment horizontal="center" vertical="center"/>
    </xf>
    <xf numFmtId="0" fontId="19" fillId="0" borderId="17" xfId="5" applyFont="1" applyBorder="1"/>
    <xf numFmtId="0" fontId="14" fillId="7" borderId="2" xfId="9" applyFont="1" applyFill="1" applyBorder="1" applyAlignment="1">
      <alignment horizontal="center" vertical="center"/>
    </xf>
    <xf numFmtId="0" fontId="24" fillId="7" borderId="2" xfId="9" applyFont="1" applyFill="1" applyBorder="1" applyAlignment="1">
      <alignment vertical="center" wrapText="1"/>
    </xf>
    <xf numFmtId="43" fontId="14" fillId="0" borderId="2" xfId="6" applyFont="1" applyBorder="1" applyAlignment="1">
      <alignment vertical="center"/>
    </xf>
    <xf numFmtId="0" fontId="14" fillId="0" borderId="0" xfId="9" applyFont="1" applyAlignment="1">
      <alignment horizontal="center" vertical="center"/>
    </xf>
    <xf numFmtId="0" fontId="19" fillId="0" borderId="0" xfId="9" applyFont="1" applyAlignment="1">
      <alignment horizontal="left"/>
    </xf>
    <xf numFmtId="43" fontId="14" fillId="0" borderId="0" xfId="6" applyFont="1" applyBorder="1"/>
    <xf numFmtId="43" fontId="23" fillId="0" borderId="0" xfId="6" applyFont="1" applyBorder="1" applyAlignment="1"/>
    <xf numFmtId="9" fontId="18" fillId="0" borderId="0" xfId="7" applyFont="1" applyBorder="1" applyAlignment="1">
      <alignment horizontal="center"/>
    </xf>
    <xf numFmtId="43" fontId="18" fillId="0" borderId="0" xfId="6" applyFont="1" applyBorder="1" applyAlignment="1">
      <alignment horizontal="center"/>
    </xf>
    <xf numFmtId="43" fontId="23" fillId="0" borderId="0" xfId="6" applyFont="1" applyBorder="1" applyAlignment="1">
      <alignment horizontal="center"/>
    </xf>
    <xf numFmtId="0" fontId="14" fillId="0" borderId="17" xfId="9" applyFont="1" applyBorder="1" applyAlignment="1">
      <alignment horizontal="center" vertical="center"/>
    </xf>
    <xf numFmtId="0" fontId="19" fillId="0" borderId="17" xfId="9" applyFont="1" applyBorder="1" applyAlignment="1">
      <alignment horizontal="left"/>
    </xf>
    <xf numFmtId="43" fontId="14" fillId="0" borderId="17" xfId="6" applyFont="1" applyBorder="1" applyAlignment="1">
      <alignment horizontal="center"/>
    </xf>
    <xf numFmtId="43" fontId="14" fillId="0" borderId="17" xfId="6" applyFont="1" applyBorder="1"/>
    <xf numFmtId="0" fontId="20" fillId="7" borderId="2" xfId="9" applyFont="1" applyFill="1" applyBorder="1" applyAlignment="1">
      <alignment horizontal="center" vertical="center"/>
    </xf>
    <xf numFmtId="0" fontId="14" fillId="7" borderId="2" xfId="9" applyFont="1" applyFill="1" applyBorder="1" applyAlignment="1">
      <alignment horizontal="left" wrapText="1"/>
    </xf>
    <xf numFmtId="0" fontId="22" fillId="0" borderId="17" xfId="9" applyFont="1" applyBorder="1" applyAlignment="1">
      <alignment horizontal="left" wrapText="1"/>
    </xf>
    <xf numFmtId="188" fontId="5" fillId="0" borderId="1" xfId="1" applyNumberFormat="1" applyFont="1" applyBorder="1" applyAlignment="1">
      <alignment horizontal="right" vertical="top"/>
    </xf>
    <xf numFmtId="188" fontId="3" fillId="0" borderId="1" xfId="0" applyNumberFormat="1" applyFont="1" applyBorder="1" applyAlignment="1">
      <alignment horizontal="center" vertical="top"/>
    </xf>
    <xf numFmtId="188" fontId="5" fillId="0" borderId="1" xfId="1" applyNumberFormat="1" applyFont="1" applyBorder="1" applyAlignment="1">
      <alignment horizontal="right" vertical="top" wrapText="1"/>
    </xf>
    <xf numFmtId="188" fontId="4" fillId="0" borderId="1" xfId="1" applyNumberFormat="1" applyFont="1" applyBorder="1" applyAlignment="1">
      <alignment horizontal="right" vertical="top"/>
    </xf>
    <xf numFmtId="188" fontId="3" fillId="0" borderId="0" xfId="1" applyNumberFormat="1" applyFont="1" applyAlignment="1">
      <alignment horizontal="right" vertical="top"/>
    </xf>
    <xf numFmtId="188" fontId="25" fillId="0" borderId="1" xfId="0" applyNumberFormat="1" applyFont="1" applyBorder="1" applyAlignment="1">
      <alignment horizontal="center" vertical="center" wrapText="1"/>
    </xf>
    <xf numFmtId="187" fontId="25" fillId="0" borderId="2" xfId="1" applyFont="1" applyBorder="1" applyAlignment="1">
      <alignment horizontal="center" vertical="center"/>
    </xf>
    <xf numFmtId="187" fontId="25" fillId="11" borderId="2" xfId="1" applyFont="1" applyFill="1" applyBorder="1" applyAlignment="1">
      <alignment horizontal="center" vertical="center"/>
    </xf>
    <xf numFmtId="188" fontId="25" fillId="11" borderId="2" xfId="1" applyNumberFormat="1" applyFont="1" applyFill="1" applyBorder="1" applyAlignment="1">
      <alignment horizontal="center" vertical="center"/>
    </xf>
    <xf numFmtId="188" fontId="25" fillId="11" borderId="2" xfId="1" applyNumberFormat="1" applyFont="1" applyFill="1" applyBorder="1" applyAlignment="1">
      <alignment horizontal="center" vertical="center" wrapText="1"/>
    </xf>
    <xf numFmtId="187" fontId="25" fillId="11" borderId="2" xfId="1" applyFont="1" applyFill="1" applyBorder="1" applyAlignment="1">
      <alignment horizontal="center" vertical="center" wrapText="1"/>
    </xf>
    <xf numFmtId="0" fontId="26" fillId="4" borderId="2" xfId="2" applyFont="1" applyBorder="1" applyAlignment="1">
      <alignment horizontal="center" vertical="center"/>
    </xf>
    <xf numFmtId="188" fontId="25" fillId="4" borderId="2" xfId="2" applyNumberFormat="1" applyFont="1" applyBorder="1" applyAlignment="1">
      <alignment horizontal="center" vertical="center"/>
    </xf>
    <xf numFmtId="187" fontId="26" fillId="4" borderId="2" xfId="2" applyNumberFormat="1" applyFont="1" applyBorder="1" applyAlignment="1">
      <alignment horizontal="center" vertical="center"/>
    </xf>
    <xf numFmtId="188" fontId="27" fillId="3" borderId="2" xfId="1" applyNumberFormat="1" applyFont="1" applyFill="1" applyBorder="1" applyAlignment="1">
      <alignment horizontal="right" vertical="top"/>
    </xf>
    <xf numFmtId="188" fontId="26" fillId="3" borderId="2" xfId="0" applyNumberFormat="1" applyFont="1" applyFill="1" applyBorder="1" applyAlignment="1">
      <alignment vertical="top"/>
    </xf>
    <xf numFmtId="0" fontId="26" fillId="3" borderId="2" xfId="0" applyFont="1" applyFill="1" applyBorder="1" applyAlignment="1">
      <alignment vertical="top"/>
    </xf>
    <xf numFmtId="0" fontId="26" fillId="3" borderId="2" xfId="0" applyFont="1" applyFill="1" applyBorder="1" applyAlignment="1">
      <alignment horizontal="left" vertical="top"/>
    </xf>
    <xf numFmtId="0" fontId="26" fillId="0" borderId="2" xfId="0" applyFont="1" applyBorder="1" applyAlignment="1">
      <alignment horizontal="center" vertical="top"/>
    </xf>
    <xf numFmtId="0" fontId="26" fillId="0" borderId="1" xfId="0" applyFont="1" applyBorder="1" applyAlignment="1">
      <alignment vertical="center" wrapText="1"/>
    </xf>
    <xf numFmtId="188" fontId="26" fillId="0" borderId="2" xfId="1" applyNumberFormat="1" applyFont="1" applyBorder="1" applyAlignment="1">
      <alignment horizontal="right" vertical="top" wrapText="1"/>
    </xf>
    <xf numFmtId="188" fontId="26" fillId="0" borderId="2" xfId="0" applyNumberFormat="1" applyFont="1" applyBorder="1" applyAlignment="1">
      <alignment vertical="top"/>
    </xf>
    <xf numFmtId="0" fontId="26" fillId="0" borderId="2" xfId="0" applyFont="1" applyBorder="1" applyAlignment="1">
      <alignment vertical="top"/>
    </xf>
    <xf numFmtId="0" fontId="26" fillId="0" borderId="1" xfId="0" applyFont="1" applyBorder="1" applyAlignment="1">
      <alignment vertical="top"/>
    </xf>
    <xf numFmtId="188" fontId="26" fillId="0" borderId="2" xfId="4" applyNumberFormat="1" applyFont="1" applyFill="1" applyBorder="1" applyAlignment="1">
      <alignment horizontal="right" vertical="top" wrapText="1"/>
    </xf>
    <xf numFmtId="188" fontId="26" fillId="0" borderId="2" xfId="4" applyNumberFormat="1" applyFont="1" applyFill="1" applyBorder="1" applyAlignment="1">
      <alignment vertical="top"/>
    </xf>
    <xf numFmtId="0" fontId="26" fillId="0" borderId="2" xfId="0" applyFont="1" applyBorder="1" applyAlignment="1">
      <alignment horizontal="left" vertical="top" wrapText="1"/>
    </xf>
    <xf numFmtId="0" fontId="26" fillId="0" borderId="1" xfId="0" applyFont="1" applyBorder="1" applyAlignment="1">
      <alignment vertical="top" wrapText="1"/>
    </xf>
    <xf numFmtId="188" fontId="26" fillId="0" borderId="1" xfId="4" applyNumberFormat="1" applyFont="1" applyFill="1" applyBorder="1" applyAlignment="1">
      <alignment horizontal="right" vertical="top" wrapText="1"/>
    </xf>
    <xf numFmtId="188" fontId="26" fillId="0" borderId="1" xfId="4" applyNumberFormat="1" applyFont="1" applyFill="1" applyBorder="1" applyAlignment="1">
      <alignment horizontal="right" vertical="top"/>
    </xf>
    <xf numFmtId="188" fontId="26" fillId="0" borderId="1" xfId="1" applyNumberFormat="1" applyFont="1" applyFill="1" applyBorder="1" applyAlignment="1">
      <alignment horizontal="right" vertical="top"/>
    </xf>
    <xf numFmtId="187" fontId="26" fillId="0" borderId="1" xfId="1" applyFont="1" applyFill="1" applyBorder="1" applyAlignment="1">
      <alignment horizontal="right" vertical="top"/>
    </xf>
    <xf numFmtId="188" fontId="26" fillId="0" borderId="0" xfId="4" applyNumberFormat="1" applyFont="1" applyFill="1" applyAlignment="1">
      <alignment vertical="top"/>
    </xf>
    <xf numFmtId="188" fontId="26" fillId="0" borderId="1" xfId="4" applyNumberFormat="1" applyFont="1" applyFill="1" applyBorder="1" applyAlignment="1">
      <alignment vertical="top"/>
    </xf>
    <xf numFmtId="188" fontId="26" fillId="0" borderId="1" xfId="0" applyNumberFormat="1" applyFont="1" applyBorder="1" applyAlignment="1">
      <alignment vertical="top"/>
    </xf>
    <xf numFmtId="0" fontId="26" fillId="0" borderId="1" xfId="0" applyFont="1" applyBorder="1" applyAlignment="1">
      <alignment horizontal="left" vertical="top"/>
    </xf>
    <xf numFmtId="188" fontId="26" fillId="0" borderId="1" xfId="1" applyNumberFormat="1" applyFont="1" applyFill="1" applyBorder="1" applyAlignment="1">
      <alignment horizontal="center" vertical="top"/>
    </xf>
    <xf numFmtId="187" fontId="26" fillId="0" borderId="1" xfId="1" applyFont="1" applyFill="1" applyBorder="1" applyAlignment="1">
      <alignment horizontal="center" vertical="top"/>
    </xf>
    <xf numFmtId="0" fontId="26" fillId="0" borderId="3" xfId="0" applyFont="1" applyBorder="1" applyAlignment="1">
      <alignment horizontal="left" vertical="top"/>
    </xf>
    <xf numFmtId="188" fontId="26" fillId="0" borderId="3" xfId="1" applyNumberFormat="1" applyFont="1" applyFill="1" applyBorder="1" applyAlignment="1">
      <alignment horizontal="right" vertical="top" wrapText="1"/>
    </xf>
    <xf numFmtId="188" fontId="26" fillId="0" borderId="16" xfId="1" applyNumberFormat="1" applyFont="1" applyFill="1" applyBorder="1" applyAlignment="1">
      <alignment horizontal="right" vertical="top" wrapText="1"/>
    </xf>
    <xf numFmtId="188" fontId="26" fillId="0" borderId="0" xfId="1" applyNumberFormat="1" applyFont="1" applyFill="1" applyAlignment="1">
      <alignment horizontal="right" vertical="top" wrapText="1"/>
    </xf>
    <xf numFmtId="188" fontId="26" fillId="0" borderId="2" xfId="1" applyNumberFormat="1" applyFont="1" applyFill="1" applyBorder="1" applyAlignment="1">
      <alignment horizontal="right" vertical="top"/>
    </xf>
    <xf numFmtId="0" fontId="26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188" fontId="25" fillId="0" borderId="1" xfId="1" applyNumberFormat="1" applyFont="1" applyBorder="1" applyAlignment="1">
      <alignment horizontal="right" vertical="top"/>
    </xf>
    <xf numFmtId="187" fontId="25" fillId="0" borderId="1" xfId="1" applyFont="1" applyBorder="1" applyAlignment="1">
      <alignment horizontal="right" vertical="top"/>
    </xf>
    <xf numFmtId="187" fontId="26" fillId="0" borderId="3" xfId="1" applyFont="1" applyFill="1" applyBorder="1" applyAlignment="1">
      <alignment horizontal="left" vertical="top"/>
    </xf>
    <xf numFmtId="188" fontId="27" fillId="3" borderId="1" xfId="1" applyNumberFormat="1" applyFont="1" applyFill="1" applyBorder="1" applyAlignment="1">
      <alignment horizontal="right" vertical="top"/>
    </xf>
    <xf numFmtId="188" fontId="26" fillId="3" borderId="1" xfId="1" applyNumberFormat="1" applyFont="1" applyFill="1" applyBorder="1" applyAlignment="1">
      <alignment horizontal="right" vertical="top"/>
    </xf>
    <xf numFmtId="187" fontId="26" fillId="3" borderId="1" xfId="1" applyFont="1" applyFill="1" applyBorder="1" applyAlignment="1">
      <alignment horizontal="right" vertical="top"/>
    </xf>
    <xf numFmtId="187" fontId="26" fillId="3" borderId="3" xfId="1" applyFont="1" applyFill="1" applyBorder="1" applyAlignment="1">
      <alignment horizontal="left" vertical="top"/>
    </xf>
    <xf numFmtId="187" fontId="26" fillId="3" borderId="1" xfId="1" applyFont="1" applyFill="1" applyBorder="1" applyAlignment="1">
      <alignment horizontal="left" vertical="top"/>
    </xf>
    <xf numFmtId="188" fontId="26" fillId="0" borderId="1" xfId="1" applyNumberFormat="1" applyFont="1" applyBorder="1" applyAlignment="1">
      <alignment horizontal="right" vertical="top" wrapText="1"/>
    </xf>
    <xf numFmtId="187" fontId="26" fillId="0" borderId="3" xfId="1" applyFont="1" applyFill="1" applyBorder="1" applyAlignment="1">
      <alignment horizontal="left" vertical="top" wrapText="1"/>
    </xf>
    <xf numFmtId="188" fontId="26" fillId="0" borderId="1" xfId="1" applyNumberFormat="1" applyFont="1" applyFill="1" applyBorder="1" applyAlignment="1">
      <alignment horizontal="right" vertical="top" wrapText="1"/>
    </xf>
    <xf numFmtId="187" fontId="25" fillId="0" borderId="3" xfId="1" applyFont="1" applyFill="1" applyBorder="1" applyAlignment="1">
      <alignment horizontal="left" vertical="top"/>
    </xf>
    <xf numFmtId="188" fontId="26" fillId="0" borderId="1" xfId="1" applyNumberFormat="1" applyFont="1" applyBorder="1" applyAlignment="1">
      <alignment horizontal="right" vertical="top"/>
    </xf>
    <xf numFmtId="188" fontId="25" fillId="0" borderId="1" xfId="1" applyNumberFormat="1" applyFont="1" applyFill="1" applyBorder="1" applyAlignment="1">
      <alignment horizontal="right" vertical="top"/>
    </xf>
    <xf numFmtId="187" fontId="25" fillId="0" borderId="1" xfId="1" applyFont="1" applyFill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187" fontId="26" fillId="0" borderId="1" xfId="1" applyFont="1" applyFill="1" applyBorder="1" applyAlignment="1">
      <alignment horizontal="right" vertical="top" wrapText="1"/>
    </xf>
    <xf numFmtId="188" fontId="25" fillId="0" borderId="1" xfId="1" applyNumberFormat="1" applyFont="1" applyFill="1" applyBorder="1" applyAlignment="1">
      <alignment horizontal="center" vertical="top"/>
    </xf>
    <xf numFmtId="188" fontId="25" fillId="0" borderId="1" xfId="0" applyNumberFormat="1" applyFont="1" applyBorder="1" applyAlignment="1">
      <alignment horizontal="center" vertical="top"/>
    </xf>
    <xf numFmtId="188" fontId="26" fillId="0" borderId="1" xfId="3" applyNumberFormat="1" applyFont="1" applyFill="1" applyBorder="1" applyAlignment="1">
      <alignment horizontal="right" vertical="top" wrapText="1"/>
    </xf>
    <xf numFmtId="188" fontId="26" fillId="0" borderId="1" xfId="3" applyNumberFormat="1" applyFont="1" applyFill="1" applyBorder="1" applyAlignment="1">
      <alignment horizontal="right" vertical="top"/>
    </xf>
    <xf numFmtId="187" fontId="26" fillId="0" borderId="3" xfId="1" applyFont="1" applyFill="1" applyBorder="1" applyAlignment="1">
      <alignment vertical="top" wrapText="1"/>
    </xf>
    <xf numFmtId="188" fontId="26" fillId="0" borderId="1" xfId="1" applyNumberFormat="1" applyFont="1" applyBorder="1" applyAlignment="1">
      <alignment horizontal="center" vertical="top"/>
    </xf>
    <xf numFmtId="188" fontId="25" fillId="2" borderId="1" xfId="1" applyNumberFormat="1" applyFont="1" applyFill="1" applyBorder="1" applyAlignment="1">
      <alignment horizontal="right" vertical="top"/>
    </xf>
    <xf numFmtId="0" fontId="25" fillId="0" borderId="1" xfId="0" applyFont="1" applyBorder="1" applyAlignment="1">
      <alignment horizontal="center" vertical="top" wrapText="1"/>
    </xf>
    <xf numFmtId="188" fontId="25" fillId="0" borderId="1" xfId="1" applyNumberFormat="1" applyFont="1" applyBorder="1" applyAlignment="1">
      <alignment horizontal="right" vertical="top" wrapText="1"/>
    </xf>
    <xf numFmtId="187" fontId="26" fillId="0" borderId="1" xfId="1" applyFont="1" applyFill="1" applyBorder="1" applyAlignment="1">
      <alignment horizontal="left" vertical="top"/>
    </xf>
    <xf numFmtId="188" fontId="25" fillId="0" borderId="1" xfId="0" applyNumberFormat="1" applyFont="1" applyBorder="1" applyAlignment="1">
      <alignment horizontal="center" vertical="top" wrapText="1"/>
    </xf>
    <xf numFmtId="0" fontId="26" fillId="0" borderId="0" xfId="0" applyFont="1" applyAlignment="1">
      <alignment vertical="top" wrapText="1"/>
    </xf>
    <xf numFmtId="188" fontId="26" fillId="0" borderId="1" xfId="1" applyNumberFormat="1" applyFont="1" applyBorder="1" applyAlignment="1">
      <alignment vertical="top"/>
    </xf>
    <xf numFmtId="188" fontId="26" fillId="0" borderId="1" xfId="1" applyNumberFormat="1" applyFont="1" applyFill="1" applyBorder="1" applyAlignment="1">
      <alignment vertical="top"/>
    </xf>
    <xf numFmtId="0" fontId="26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horizontal="center" vertical="top" wrapText="1"/>
    </xf>
    <xf numFmtId="188" fontId="25" fillId="2" borderId="1" xfId="1" applyNumberFormat="1" applyFont="1" applyFill="1" applyBorder="1" applyAlignment="1">
      <alignment horizontal="right" vertical="top" wrapText="1"/>
    </xf>
    <xf numFmtId="0" fontId="26" fillId="3" borderId="1" xfId="0" applyFont="1" applyFill="1" applyBorder="1" applyAlignment="1">
      <alignment horizontal="center" vertical="top"/>
    </xf>
    <xf numFmtId="0" fontId="25" fillId="3" borderId="1" xfId="0" applyFont="1" applyFill="1" applyBorder="1" applyAlignment="1">
      <alignment horizontal="left" vertical="top"/>
    </xf>
    <xf numFmtId="188" fontId="25" fillId="3" borderId="1" xfId="1" applyNumberFormat="1" applyFont="1" applyFill="1" applyBorder="1" applyAlignment="1">
      <alignment horizontal="right" vertical="top"/>
    </xf>
    <xf numFmtId="187" fontId="28" fillId="0" borderId="3" xfId="1" applyFont="1" applyFill="1" applyBorder="1" applyAlignment="1">
      <alignment horizontal="left" vertical="top" wrapText="1"/>
    </xf>
    <xf numFmtId="187" fontId="28" fillId="0" borderId="3" xfId="1" applyFont="1" applyFill="1" applyBorder="1" applyAlignment="1">
      <alignment horizontal="left" vertical="top"/>
    </xf>
    <xf numFmtId="188" fontId="26" fillId="0" borderId="1" xfId="0" applyNumberFormat="1" applyFont="1" applyBorder="1" applyAlignment="1">
      <alignment horizontal="center" vertical="top" wrapText="1"/>
    </xf>
    <xf numFmtId="0" fontId="27" fillId="3" borderId="1" xfId="0" applyFont="1" applyFill="1" applyBorder="1" applyAlignment="1">
      <alignment horizontal="left" vertical="top"/>
    </xf>
    <xf numFmtId="0" fontId="25" fillId="0" borderId="0" xfId="0" applyFont="1" applyAlignment="1">
      <alignment horizontal="center" vertical="top"/>
    </xf>
    <xf numFmtId="0" fontId="25" fillId="0" borderId="1" xfId="0" applyFont="1" applyBorder="1" applyAlignment="1">
      <alignment horizontal="center" vertical="center"/>
    </xf>
    <xf numFmtId="188" fontId="25" fillId="0" borderId="9" xfId="1" applyNumberFormat="1" applyFont="1" applyBorder="1" applyAlignment="1">
      <alignment horizontal="center" vertical="center"/>
    </xf>
    <xf numFmtId="188" fontId="25" fillId="0" borderId="2" xfId="1" applyNumberFormat="1" applyFont="1" applyBorder="1" applyAlignment="1">
      <alignment horizontal="center" vertical="center"/>
    </xf>
    <xf numFmtId="188" fontId="25" fillId="0" borderId="1" xfId="0" applyNumberFormat="1" applyFont="1" applyBorder="1" applyAlignment="1">
      <alignment horizontal="center" vertical="center"/>
    </xf>
    <xf numFmtId="188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left" vertical="top"/>
    </xf>
    <xf numFmtId="187" fontId="14" fillId="0" borderId="9" xfId="1" applyFont="1" applyFill="1" applyBorder="1" applyAlignment="1">
      <alignment horizontal="center" vertical="center"/>
    </xf>
    <xf numFmtId="187" fontId="14" fillId="0" borderId="2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88" fontId="25" fillId="0" borderId="1" xfId="1" applyNumberFormat="1" applyFont="1" applyBorder="1" applyAlignment="1">
      <alignment horizontal="center" vertical="center" wrapText="1"/>
    </xf>
    <xf numFmtId="188" fontId="26" fillId="4" borderId="2" xfId="1" applyNumberFormat="1" applyFont="1" applyFill="1" applyBorder="1" applyAlignment="1">
      <alignment horizontal="center" vertical="center"/>
    </xf>
    <xf numFmtId="188" fontId="26" fillId="3" borderId="2" xfId="1" applyNumberFormat="1" applyFont="1" applyFill="1" applyBorder="1" applyAlignment="1">
      <alignment horizontal="left" vertical="top"/>
    </xf>
    <xf numFmtId="188" fontId="26" fillId="12" borderId="1" xfId="1" applyNumberFormat="1" applyFont="1" applyFill="1" applyBorder="1" applyAlignment="1">
      <alignment vertical="top"/>
    </xf>
    <xf numFmtId="188" fontId="26" fillId="0" borderId="1" xfId="1" applyNumberFormat="1" applyFont="1" applyBorder="1" applyAlignment="1">
      <alignment horizontal="left" vertical="top"/>
    </xf>
    <xf numFmtId="188" fontId="26" fillId="12" borderId="1" xfId="1" applyNumberFormat="1" applyFont="1" applyFill="1" applyBorder="1" applyAlignment="1">
      <alignment horizontal="left" vertical="top"/>
    </xf>
    <xf numFmtId="188" fontId="26" fillId="3" borderId="1" xfId="1" applyNumberFormat="1" applyFont="1" applyFill="1" applyBorder="1" applyAlignment="1">
      <alignment horizontal="left" vertical="top"/>
    </xf>
    <xf numFmtId="188" fontId="26" fillId="0" borderId="1" xfId="1" applyNumberFormat="1" applyFont="1" applyBorder="1" applyAlignment="1">
      <alignment horizontal="left" vertical="top" wrapText="1"/>
    </xf>
    <xf numFmtId="188" fontId="26" fillId="2" borderId="1" xfId="1" applyNumberFormat="1" applyFont="1" applyFill="1" applyBorder="1" applyAlignment="1">
      <alignment horizontal="left" vertical="top"/>
    </xf>
    <xf numFmtId="188" fontId="3" fillId="0" borderId="1" xfId="1" applyNumberFormat="1" applyFont="1" applyBorder="1" applyAlignment="1">
      <alignment horizontal="left" vertical="top"/>
    </xf>
    <xf numFmtId="188" fontId="3" fillId="0" borderId="0" xfId="1" applyNumberFormat="1" applyFont="1" applyAlignment="1">
      <alignment horizontal="left" vertical="top"/>
    </xf>
    <xf numFmtId="188" fontId="29" fillId="12" borderId="1" xfId="1" applyNumberFormat="1" applyFont="1" applyFill="1" applyBorder="1" applyAlignment="1">
      <alignment horizontal="left" vertical="top"/>
    </xf>
    <xf numFmtId="0" fontId="26" fillId="0" borderId="1" xfId="0" applyFont="1" applyFill="1" applyBorder="1" applyAlignment="1">
      <alignment horizontal="left" vertical="top" wrapText="1"/>
    </xf>
    <xf numFmtId="0" fontId="26" fillId="0" borderId="1" xfId="0" applyFont="1" applyFill="1" applyBorder="1" applyAlignment="1">
      <alignment vertical="top" wrapText="1"/>
    </xf>
    <xf numFmtId="0" fontId="26" fillId="13" borderId="1" xfId="0" applyFont="1" applyFill="1" applyBorder="1" applyAlignment="1">
      <alignment horizontal="left" vertical="top" wrapText="1"/>
    </xf>
  </cellXfs>
  <cellStyles count="10">
    <cellStyle name="60% - ส่วนที่ถูกเน้น2" xfId="3" builtinId="36"/>
    <cellStyle name="Comma 2" xfId="6" xr:uid="{5217E7E0-7D16-412B-8358-E6D87B19E543}"/>
    <cellStyle name="Hyperlink 2" xfId="8" xr:uid="{AC461BB7-364A-47A1-8660-FB7CF8DC6589}"/>
    <cellStyle name="Normal 2" xfId="5" xr:uid="{D10D9D64-D3EC-4167-B18F-7C35940D3FDD}"/>
    <cellStyle name="Normal 2 2" xfId="9" xr:uid="{5EF39917-5814-41BE-B0EC-FBBD988F9AC6}"/>
    <cellStyle name="Percent 2" xfId="7" xr:uid="{60C18FCD-0FB1-4C23-A111-CA2B77D06289}"/>
    <cellStyle name="จุลภาค" xfId="1" builtinId="3"/>
    <cellStyle name="ปกติ" xfId="0" builtinId="0"/>
    <cellStyle name="ปานกลาง" xfId="2" builtinId="28"/>
    <cellStyle name="ส่วนที่ถูกเน้น3" xfId="4" builtinId="37"/>
  </cellStyles>
  <dxfs count="0"/>
  <tableStyles count="0" defaultTableStyle="TableStyleMedium2" defaultPivotStyle="PivotStyleLight16"/>
  <colors>
    <mruColors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คาดการณ์ ใช้งบ</a:t>
            </a:r>
            <a:r>
              <a:rPr lang="th-TH" baseline="0"/>
              <a:t> </a:t>
            </a:r>
            <a:r>
              <a:rPr lang="th-TH"/>
              <a:t>ปวช.</a:t>
            </a:r>
            <a:r>
              <a:rPr lang="en-US"/>
              <a:t> </a:t>
            </a:r>
            <a:r>
              <a:rPr lang="th-TH"/>
              <a:t>ปีงบ 2569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8916765105167579"/>
          <c:y val="0.15478403428785606"/>
          <c:w val="0.7557158298602964"/>
          <c:h val="0.825258110248160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DF-448D-9313-06D835B6F6F1}"/>
              </c:ext>
            </c:extLst>
          </c:dPt>
          <c:dPt>
            <c:idx val="2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DF-448D-9313-06D835B6F6F1}"/>
              </c:ext>
            </c:extLst>
          </c:dPt>
          <c:cat>
            <c:strRef>
              <c:f>'กราฟ งบดำเนินงาน (69)'!$B$11:$D$11</c:f>
              <c:strCache>
                <c:ptCount val="3"/>
                <c:pt idx="0">
                  <c:v> คาดการณ์ ปวช. </c:v>
                </c:pt>
                <c:pt idx="1">
                  <c:v>ค่าวัสดุฝึก</c:v>
                </c:pt>
                <c:pt idx="2">
                  <c:v>คงเหลือ(ส่วนต่าง)</c:v>
                </c:pt>
              </c:strCache>
            </c:strRef>
          </c:cat>
          <c:val>
            <c:numRef>
              <c:f>'กราฟ งบดำเนินงาน (69)'!$B$12:$D$12</c:f>
              <c:numCache>
                <c:formatCode>_(* #,##0.00_);_(* \(#,##0.00\);_(* "-"??_);_(@_)</c:formatCode>
                <c:ptCount val="3"/>
                <c:pt idx="0">
                  <c:v>279006.57</c:v>
                </c:pt>
                <c:pt idx="1">
                  <c:v>311172</c:v>
                </c:pt>
                <c:pt idx="2">
                  <c:v>-32165.429999999993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F-448D-9313-06D835B6F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863680"/>
        <c:axId val="759138896"/>
      </c:barChart>
      <c:catAx>
        <c:axId val="12498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59138896"/>
        <c:crosses val="autoZero"/>
        <c:auto val="1"/>
        <c:lblAlgn val="ctr"/>
        <c:lblOffset val="100"/>
        <c:noMultiLvlLbl val="0"/>
      </c:catAx>
      <c:valAx>
        <c:axId val="7591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98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25" r="0.25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คาดการณ์ ใช้งบ ปวส. ปีงบ 2569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2D-4E91-847D-7F13BD73E5AE}"/>
              </c:ext>
            </c:extLst>
          </c:dPt>
          <c:dPt>
            <c:idx val="4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2D-4E91-847D-7F13BD73E5AE}"/>
              </c:ext>
            </c:extLst>
          </c:dPt>
          <c:cat>
            <c:strRef>
              <c:f>'กราฟ งบดำเนินงาน (69)'!$F$11:$J$11</c:f>
              <c:strCache>
                <c:ptCount val="5"/>
                <c:pt idx="0">
                  <c:v> คาดการณ์ ปวส. </c:v>
                </c:pt>
                <c:pt idx="1">
                  <c:v>ค่าไปราชการ</c:v>
                </c:pt>
                <c:pt idx="2">
                  <c:v>ค่าน้ำมัน</c:v>
                </c:pt>
                <c:pt idx="3">
                  <c:v>ค่าประกันสังคม(โครงการ)</c:v>
                </c:pt>
                <c:pt idx="4">
                  <c:v>คงเหลือ(ส่วนต่าง)</c:v>
                </c:pt>
              </c:strCache>
            </c:strRef>
          </c:cat>
          <c:val>
            <c:numRef>
              <c:f>'กราฟ งบดำเนินงาน (69)'!$F$12:$J$12</c:f>
              <c:numCache>
                <c:formatCode>_(* #,##0.00_);_(* \(#,##0.00\);_(* "-"??_);_(@_)</c:formatCode>
                <c:ptCount val="5"/>
                <c:pt idx="0">
                  <c:v>480673.88999999996</c:v>
                </c:pt>
                <c:pt idx="1">
                  <c:v>463953</c:v>
                </c:pt>
                <c:pt idx="2">
                  <c:v>185739</c:v>
                </c:pt>
                <c:pt idx="3">
                  <c:v>28420</c:v>
                </c:pt>
                <c:pt idx="4">
                  <c:v>-197438.11000000004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D-4E91-847D-7F13BD73E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308000"/>
        <c:axId val="1245309920"/>
      </c:barChart>
      <c:catAx>
        <c:axId val="124530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5309920"/>
        <c:crosses val="autoZero"/>
        <c:auto val="1"/>
        <c:lblAlgn val="ctr"/>
        <c:lblOffset val="100"/>
        <c:noMultiLvlLbl val="0"/>
      </c:catAx>
      <c:valAx>
        <c:axId val="12453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530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ค่าสาธารณูปโภค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ยอดจัดสรร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ปีงบ2568</c:v>
              </c:pt>
            </c:strLit>
          </c:cat>
          <c:val>
            <c:numRef>
              <c:f>'กราฟ งบดำเนินงาน (69)'!$C$28:$D$28</c:f>
              <c:numCache>
                <c:formatCode>_(* #,##0.00_);_(* \(#,##0.00\);_(* "-"??_);_(@_)</c:formatCode>
                <c:ptCount val="2"/>
                <c:pt idx="0">
                  <c:v>845400</c:v>
                </c:pt>
                <c:pt idx="1">
                  <c:v>706838.94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A-4A18-BC07-6E90EFDBBDFA}"/>
            </c:ext>
          </c:extLst>
        </c:ser>
        <c:ser>
          <c:idx val="1"/>
          <c:order val="1"/>
          <c:tx>
            <c:v>ใช้ไป</c:v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ปีงบ2568</c:v>
              </c:pt>
            </c:strLit>
          </c:cat>
          <c:val>
            <c:numRef>
              <c:f>'กราฟ งบดำเนินงาน (69)'!$C$32:$D$32</c:f>
              <c:numCache>
                <c:formatCode>_(* #,##0.00_);_(* \(#,##0.00\);_(* "-"??_);_(@_)</c:formatCode>
                <c:ptCount val="2"/>
                <c:pt idx="0">
                  <c:v>570711.57999999996</c:v>
                </c:pt>
                <c:pt idx="1">
                  <c:v>570711.57999999996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A-4A18-BC07-6E90EFDBB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789040"/>
        <c:axId val="768785200"/>
      </c:barChart>
      <c:catAx>
        <c:axId val="7687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8785200"/>
        <c:crosses val="autoZero"/>
        <c:auto val="1"/>
        <c:lblAlgn val="ctr"/>
        <c:lblOffset val="100"/>
        <c:noMultiLvlLbl val="0"/>
      </c:catAx>
      <c:valAx>
        <c:axId val="7687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6878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(ค่าจัดการเรียนการสอน)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42-4B46-BE39-20A5F7D16AE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42-4B46-BE39-20A5F7D16AEE}"/>
              </c:ext>
            </c:extLst>
          </c:dPt>
          <c:cat>
            <c:strRef>
              <c:f>'กราฟ งบดำเนินงาน (69)'!$B$46:$F$46</c:f>
              <c:strCache>
                <c:ptCount val="5"/>
                <c:pt idx="0">
                  <c:v> คาดการณ์ ค่าจัดการเรียนการสอน </c:v>
                </c:pt>
                <c:pt idx="1">
                  <c:v>เงินเดือน</c:v>
                </c:pt>
                <c:pt idx="2">
                  <c:v>ค่าสอน</c:v>
                </c:pt>
                <c:pt idx="3">
                  <c:v>ค่าธุรการ</c:v>
                </c:pt>
                <c:pt idx="4">
                  <c:v>คงเหลือ(โครงการ)</c:v>
                </c:pt>
              </c:strCache>
            </c:strRef>
          </c:cat>
          <c:val>
            <c:numRef>
              <c:f>'กราฟ งบดำเนินงาน (69)'!$B$47:$F$47</c:f>
              <c:numCache>
                <c:formatCode>_(* #,##0.00_);_(* \(#,##0.00\);_(* "-"??_);_(@_)</c:formatCode>
                <c:ptCount val="5"/>
                <c:pt idx="0">
                  <c:v>2966462.7335999999</c:v>
                </c:pt>
                <c:pt idx="1">
                  <c:v>3000000</c:v>
                </c:pt>
                <c:pt idx="2">
                  <c:v>737600</c:v>
                </c:pt>
                <c:pt idx="3">
                  <c:v>101060</c:v>
                </c:pt>
                <c:pt idx="4">
                  <c:v>-3838660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2-4B46-BE39-20A5F7D16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076608"/>
        <c:axId val="1279077088"/>
      </c:barChart>
      <c:catAx>
        <c:axId val="12790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79077088"/>
        <c:crosses val="autoZero"/>
        <c:auto val="1"/>
        <c:lblAlgn val="ctr"/>
        <c:lblOffset val="100"/>
        <c:noMultiLvlLbl val="0"/>
      </c:catAx>
      <c:valAx>
        <c:axId val="127907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7907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บกศ. 2569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E-4F18-9EE5-417A42E9D3E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CE-4F18-9EE5-417A42E9D3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E-4F18-9EE5-417A42E9D3E3}"/>
              </c:ext>
            </c:extLst>
          </c:dPt>
          <c:cat>
            <c:strRef>
              <c:f>'กราฟ งบดำเนินงาน (69)'!$B$57:$D$57</c:f>
              <c:strCache>
                <c:ptCount val="3"/>
                <c:pt idx="0">
                  <c:v> คาดการณ์ บกศ 2569 </c:v>
                </c:pt>
                <c:pt idx="1">
                  <c:v>โครงการ คาดว่าใช้ บกศ</c:v>
                </c:pt>
                <c:pt idx="2">
                  <c:v>โครงการ คาดว่าใช้ งบดำเนินงาน</c:v>
                </c:pt>
              </c:strCache>
            </c:strRef>
          </c:cat>
          <c:val>
            <c:numRef>
              <c:f>'กราฟ งบดำเนินงาน (69)'!$B$58:$D$58</c:f>
              <c:numCache>
                <c:formatCode>_(* #,##0.00_);_(* \(#,##0.00\);_(* "-"??_);_(@_)</c:formatCode>
                <c:ptCount val="3"/>
                <c:pt idx="0">
                  <c:v>1337760</c:v>
                </c:pt>
                <c:pt idx="1">
                  <c:v>3055495</c:v>
                </c:pt>
                <c:pt idx="2">
                  <c:v>552265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E-4F18-9EE5-417A42E9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98335"/>
        <c:axId val="37823775"/>
      </c:barChart>
      <c:catAx>
        <c:axId val="3779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823775"/>
        <c:crosses val="autoZero"/>
        <c:auto val="1"/>
        <c:lblAlgn val="ctr"/>
        <c:lblOffset val="100"/>
        <c:noMultiLvlLbl val="0"/>
      </c:catAx>
      <c:valAx>
        <c:axId val="378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79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8804</xdr:colOff>
      <xdr:row>12</xdr:row>
      <xdr:rowOff>245248</xdr:rowOff>
    </xdr:from>
    <xdr:to>
      <xdr:col>4</xdr:col>
      <xdr:colOff>0</xdr:colOff>
      <xdr:row>20</xdr:row>
      <xdr:rowOff>277091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C22484-1C91-CDFB-CA1E-F8549751B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972909</xdr:colOff>
      <xdr:row>13</xdr:row>
      <xdr:rowOff>864</xdr:rowOff>
    </xdr:from>
    <xdr:to>
      <xdr:col>9</xdr:col>
      <xdr:colOff>883228</xdr:colOff>
      <xdr:row>21</xdr:row>
      <xdr:rowOff>51955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8BE1DC-123A-F35F-04F0-4F8ED56A4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149678</xdr:colOff>
      <xdr:row>24</xdr:row>
      <xdr:rowOff>164647</xdr:rowOff>
    </xdr:from>
    <xdr:to>
      <xdr:col>9</xdr:col>
      <xdr:colOff>719818</xdr:colOff>
      <xdr:row>33</xdr:row>
      <xdr:rowOff>288472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075120-A5C7-35D2-8AC6-4DABC4285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806824</xdr:colOff>
      <xdr:row>35</xdr:row>
      <xdr:rowOff>76841</xdr:rowOff>
    </xdr:from>
    <xdr:to>
      <xdr:col>9</xdr:col>
      <xdr:colOff>840441</xdr:colOff>
      <xdr:row>44</xdr:row>
      <xdr:rowOff>11206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B54FA08-0EA6-FFAD-D32E-7E1BCABD5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801220</xdr:colOff>
      <xdr:row>49</xdr:row>
      <xdr:rowOff>62753</xdr:rowOff>
    </xdr:from>
    <xdr:to>
      <xdr:col>9</xdr:col>
      <xdr:colOff>532278</xdr:colOff>
      <xdr:row>58</xdr:row>
      <xdr:rowOff>183776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0150A-7860-FC32-960A-108F859A9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C485-2728-42EA-854C-2AE8CD9CC671}">
  <sheetPr>
    <tabColor rgb="FF00B050"/>
    <pageSetUpPr fitToPage="1"/>
  </sheetPr>
  <dimension ref="A1:M156"/>
  <sheetViews>
    <sheetView tabSelected="1" view="pageLayout" topLeftCell="A67" zoomScaleNormal="170" zoomScaleSheetLayoutView="48" workbookViewId="0">
      <selection activeCell="K72" sqref="K72"/>
    </sheetView>
  </sheetViews>
  <sheetFormatPr defaultColWidth="9" defaultRowHeight="21" x14ac:dyDescent="0.2"/>
  <cols>
    <col min="1" max="1" width="5.25" style="2" customWidth="1"/>
    <col min="2" max="2" width="47.375" style="2" customWidth="1"/>
    <col min="3" max="3" width="12.125" style="130" customWidth="1"/>
    <col min="4" max="5" width="15.25" style="16" customWidth="1"/>
    <col min="6" max="7" width="14.5" style="16" customWidth="1"/>
    <col min="8" max="8" width="12.875" style="16" customWidth="1"/>
    <col min="9" max="9" width="12.375" style="2" customWidth="1"/>
    <col min="10" max="10" width="11.875" style="17" customWidth="1"/>
    <col min="11" max="11" width="13.75" style="234" customWidth="1"/>
    <col min="12" max="13" width="7" style="2" customWidth="1"/>
    <col min="14" max="16384" width="9" style="2"/>
  </cols>
  <sheetData>
    <row r="1" spans="1:13" x14ac:dyDescent="0.2">
      <c r="A1" s="212" t="s">
        <v>31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62"/>
      <c r="M1" s="62"/>
    </row>
    <row r="2" spans="1:13" x14ac:dyDescent="0.2">
      <c r="A2" s="213" t="s">
        <v>0</v>
      </c>
      <c r="B2" s="213" t="s">
        <v>281</v>
      </c>
      <c r="C2" s="214" t="s">
        <v>202</v>
      </c>
      <c r="D2" s="216" t="s">
        <v>1</v>
      </c>
      <c r="E2" s="216"/>
      <c r="F2" s="216" t="s">
        <v>2</v>
      </c>
      <c r="G2" s="216" t="s">
        <v>3</v>
      </c>
      <c r="H2" s="217" t="s">
        <v>4</v>
      </c>
      <c r="I2" s="218" t="s">
        <v>5</v>
      </c>
      <c r="J2" s="219" t="s">
        <v>26</v>
      </c>
      <c r="K2" s="224" t="s">
        <v>6</v>
      </c>
      <c r="L2" s="62"/>
      <c r="M2" s="62"/>
    </row>
    <row r="3" spans="1:13" ht="45.75" customHeight="1" x14ac:dyDescent="0.2">
      <c r="A3" s="213"/>
      <c r="B3" s="213"/>
      <c r="C3" s="215"/>
      <c r="D3" s="131" t="s">
        <v>7</v>
      </c>
      <c r="E3" s="131" t="s">
        <v>8</v>
      </c>
      <c r="F3" s="216"/>
      <c r="G3" s="216"/>
      <c r="H3" s="217"/>
      <c r="I3" s="218"/>
      <c r="J3" s="219"/>
      <c r="K3" s="224"/>
      <c r="L3" s="62"/>
      <c r="M3" s="62"/>
    </row>
    <row r="4" spans="1:13" s="60" customFormat="1" ht="24.75" customHeight="1" x14ac:dyDescent="0.2">
      <c r="A4" s="132"/>
      <c r="B4" s="133" t="s">
        <v>200</v>
      </c>
      <c r="C4" s="134">
        <f>SUM(D4:H4)</f>
        <v>6152074</v>
      </c>
      <c r="D4" s="135">
        <v>443693</v>
      </c>
      <c r="E4" s="135">
        <v>2966462</v>
      </c>
      <c r="F4" s="134">
        <f>759680</f>
        <v>759680</v>
      </c>
      <c r="G4" s="134">
        <v>1647739</v>
      </c>
      <c r="H4" s="135">
        <f>7500+20000+10000+110000+30000+142000+15000</f>
        <v>334500</v>
      </c>
      <c r="I4" s="136"/>
      <c r="J4" s="136"/>
      <c r="K4" s="135"/>
      <c r="L4" s="63"/>
      <c r="M4" s="63"/>
    </row>
    <row r="5" spans="1:13" s="61" customFormat="1" ht="24.75" customHeight="1" x14ac:dyDescent="0.2">
      <c r="A5" s="137"/>
      <c r="B5" s="137" t="s">
        <v>201</v>
      </c>
      <c r="C5" s="138">
        <f>C137</f>
        <v>11119490</v>
      </c>
      <c r="D5" s="138">
        <f>D137</f>
        <v>301030</v>
      </c>
      <c r="E5" s="138">
        <f t="shared" ref="E5:K5" si="0">E137</f>
        <v>3000000</v>
      </c>
      <c r="F5" s="138">
        <f>F137</f>
        <v>552265</v>
      </c>
      <c r="G5" s="138">
        <f>G137</f>
        <v>3055495</v>
      </c>
      <c r="H5" s="138">
        <f>H137</f>
        <v>325700</v>
      </c>
      <c r="I5" s="139">
        <f t="shared" si="0"/>
        <v>3850000</v>
      </c>
      <c r="J5" s="139">
        <f t="shared" si="0"/>
        <v>0</v>
      </c>
      <c r="K5" s="225">
        <f t="shared" si="0"/>
        <v>0</v>
      </c>
      <c r="L5" s="64"/>
      <c r="M5" s="64"/>
    </row>
    <row r="6" spans="1:13" ht="22.5" customHeight="1" x14ac:dyDescent="0.2">
      <c r="A6" s="220" t="s">
        <v>9</v>
      </c>
      <c r="B6" s="220"/>
      <c r="C6" s="140"/>
      <c r="D6" s="141"/>
      <c r="E6" s="141"/>
      <c r="F6" s="141"/>
      <c r="G6" s="141"/>
      <c r="H6" s="141"/>
      <c r="I6" s="142"/>
      <c r="J6" s="143"/>
      <c r="K6" s="226"/>
      <c r="L6" s="62"/>
      <c r="M6" s="62"/>
    </row>
    <row r="7" spans="1:13" ht="39" x14ac:dyDescent="0.2">
      <c r="A7" s="144">
        <v>1</v>
      </c>
      <c r="B7" s="145" t="s">
        <v>33</v>
      </c>
      <c r="C7" s="146">
        <v>15000</v>
      </c>
      <c r="D7" s="147"/>
      <c r="E7" s="147"/>
      <c r="F7" s="147">
        <v>15000</v>
      </c>
      <c r="G7" s="147"/>
      <c r="H7" s="147"/>
      <c r="I7" s="148"/>
      <c r="J7" s="149" t="s">
        <v>10</v>
      </c>
      <c r="K7" s="200"/>
      <c r="L7" s="62"/>
      <c r="M7" s="62"/>
    </row>
    <row r="8" spans="1:13" x14ac:dyDescent="0.2">
      <c r="A8" s="144">
        <v>2</v>
      </c>
      <c r="B8" s="145" t="s">
        <v>34</v>
      </c>
      <c r="C8" s="150">
        <v>55000</v>
      </c>
      <c r="D8" s="151"/>
      <c r="E8" s="151"/>
      <c r="F8" s="151"/>
      <c r="G8" s="151">
        <v>55000</v>
      </c>
      <c r="H8" s="147"/>
      <c r="I8" s="148"/>
      <c r="J8" s="149" t="s">
        <v>10</v>
      </c>
      <c r="K8" s="200"/>
      <c r="L8" s="62"/>
      <c r="M8" s="62"/>
    </row>
    <row r="9" spans="1:13" ht="23.25" customHeight="1" x14ac:dyDescent="0.2">
      <c r="A9" s="144">
        <v>3</v>
      </c>
      <c r="B9" s="152" t="s">
        <v>28</v>
      </c>
      <c r="C9" s="150">
        <v>200000</v>
      </c>
      <c r="D9" s="151"/>
      <c r="E9" s="151"/>
      <c r="F9" s="151"/>
      <c r="G9" s="151">
        <f>C9</f>
        <v>200000</v>
      </c>
      <c r="H9" s="147"/>
      <c r="I9" s="148"/>
      <c r="J9" s="153" t="s">
        <v>115</v>
      </c>
      <c r="K9" s="200"/>
      <c r="L9" s="62"/>
      <c r="M9" s="62"/>
    </row>
    <row r="10" spans="1:13" ht="23.25" customHeight="1" x14ac:dyDescent="0.2">
      <c r="A10" s="144">
        <v>4</v>
      </c>
      <c r="B10" s="153" t="s">
        <v>111</v>
      </c>
      <c r="C10" s="154">
        <v>400000</v>
      </c>
      <c r="D10" s="155"/>
      <c r="E10" s="155"/>
      <c r="F10" s="155"/>
      <c r="G10" s="154">
        <v>400000</v>
      </c>
      <c r="H10" s="156"/>
      <c r="I10" s="157"/>
      <c r="J10" s="153" t="s">
        <v>115</v>
      </c>
      <c r="K10" s="200"/>
      <c r="L10" s="62"/>
      <c r="M10" s="62"/>
    </row>
    <row r="11" spans="1:13" ht="39.75" customHeight="1" x14ac:dyDescent="0.2">
      <c r="A11" s="144">
        <v>5</v>
      </c>
      <c r="B11" s="153" t="s">
        <v>245</v>
      </c>
      <c r="C11" s="154">
        <v>20000</v>
      </c>
      <c r="D11" s="155"/>
      <c r="E11" s="155"/>
      <c r="F11" s="155"/>
      <c r="G11" s="154">
        <v>20000</v>
      </c>
      <c r="H11" s="156"/>
      <c r="I11" s="157"/>
      <c r="J11" s="153"/>
      <c r="K11" s="200"/>
      <c r="L11" s="62"/>
      <c r="M11" s="62"/>
    </row>
    <row r="12" spans="1:13" ht="23.25" customHeight="1" x14ac:dyDescent="0.2">
      <c r="A12" s="144">
        <v>6</v>
      </c>
      <c r="B12" s="153" t="s">
        <v>246</v>
      </c>
      <c r="C12" s="154">
        <v>300000</v>
      </c>
      <c r="D12" s="155"/>
      <c r="E12" s="155"/>
      <c r="F12" s="155"/>
      <c r="G12" s="154">
        <v>300000</v>
      </c>
      <c r="H12" s="156"/>
      <c r="I12" s="156"/>
      <c r="J12" s="153" t="s">
        <v>115</v>
      </c>
      <c r="K12" s="227">
        <f>88700+14910</f>
        <v>103610</v>
      </c>
      <c r="L12" s="62"/>
      <c r="M12" s="62"/>
    </row>
    <row r="13" spans="1:13" ht="23.25" customHeight="1" x14ac:dyDescent="0.2">
      <c r="A13" s="144">
        <v>7</v>
      </c>
      <c r="B13" s="153" t="s">
        <v>126</v>
      </c>
      <c r="C13" s="154">
        <v>156000</v>
      </c>
      <c r="D13" s="155"/>
      <c r="E13" s="155"/>
      <c r="F13" s="158"/>
      <c r="G13" s="154">
        <v>156000</v>
      </c>
      <c r="H13" s="156"/>
      <c r="I13" s="156"/>
      <c r="J13" s="153" t="s">
        <v>115</v>
      </c>
      <c r="K13" s="227">
        <v>156000</v>
      </c>
      <c r="L13" s="62"/>
      <c r="M13" s="62"/>
    </row>
    <row r="14" spans="1:13" ht="25.5" customHeight="1" x14ac:dyDescent="0.2">
      <c r="A14" s="144">
        <v>8</v>
      </c>
      <c r="B14" s="149" t="s">
        <v>247</v>
      </c>
      <c r="C14" s="155">
        <v>80000</v>
      </c>
      <c r="D14" s="159"/>
      <c r="E14" s="159"/>
      <c r="F14" s="155"/>
      <c r="G14" s="155">
        <v>80000</v>
      </c>
      <c r="H14" s="160"/>
      <c r="I14" s="149"/>
      <c r="J14" s="153" t="s">
        <v>115</v>
      </c>
      <c r="K14" s="228"/>
      <c r="L14" s="62"/>
      <c r="M14" s="62"/>
    </row>
    <row r="15" spans="1:13" ht="24" customHeight="1" x14ac:dyDescent="0.2">
      <c r="A15" s="144">
        <v>9</v>
      </c>
      <c r="B15" s="153" t="s">
        <v>114</v>
      </c>
      <c r="C15" s="155">
        <v>500000</v>
      </c>
      <c r="D15" s="159"/>
      <c r="E15" s="159"/>
      <c r="F15" s="155"/>
      <c r="G15" s="155">
        <v>500000</v>
      </c>
      <c r="H15" s="160"/>
      <c r="I15" s="149"/>
      <c r="J15" s="153" t="s">
        <v>115</v>
      </c>
      <c r="K15" s="229">
        <v>498000</v>
      </c>
      <c r="L15" s="62"/>
      <c r="M15" s="62"/>
    </row>
    <row r="16" spans="1:13" ht="24" customHeight="1" x14ac:dyDescent="0.2">
      <c r="A16" s="144">
        <v>10</v>
      </c>
      <c r="B16" s="153" t="s">
        <v>266</v>
      </c>
      <c r="C16" s="155">
        <v>200000</v>
      </c>
      <c r="D16" s="159"/>
      <c r="E16" s="159"/>
      <c r="F16" s="155"/>
      <c r="G16" s="155">
        <v>200000</v>
      </c>
      <c r="H16" s="160"/>
      <c r="I16" s="149"/>
      <c r="J16" s="153" t="s">
        <v>115</v>
      </c>
      <c r="K16" s="228"/>
      <c r="L16" s="62"/>
      <c r="M16" s="62"/>
    </row>
    <row r="17" spans="1:13" ht="39" x14ac:dyDescent="0.2">
      <c r="A17" s="144">
        <v>11</v>
      </c>
      <c r="B17" s="153" t="s">
        <v>116</v>
      </c>
      <c r="C17" s="154">
        <v>50000</v>
      </c>
      <c r="D17" s="159"/>
      <c r="E17" s="159"/>
      <c r="F17" s="154">
        <v>50000</v>
      </c>
      <c r="G17" s="154"/>
      <c r="H17" s="160"/>
      <c r="I17" s="149"/>
      <c r="J17" s="153" t="s">
        <v>11</v>
      </c>
      <c r="K17" s="229" t="s">
        <v>280</v>
      </c>
      <c r="L17" s="62"/>
      <c r="M17" s="62"/>
    </row>
    <row r="18" spans="1:13" ht="39" customHeight="1" x14ac:dyDescent="0.2">
      <c r="A18" s="144">
        <v>12</v>
      </c>
      <c r="B18" s="153" t="s">
        <v>117</v>
      </c>
      <c r="C18" s="154">
        <v>50000</v>
      </c>
      <c r="D18" s="155"/>
      <c r="E18" s="155"/>
      <c r="F18" s="155"/>
      <c r="G18" s="154">
        <v>50000</v>
      </c>
      <c r="H18" s="156"/>
      <c r="I18" s="157"/>
      <c r="J18" s="153" t="s">
        <v>11</v>
      </c>
      <c r="K18" s="228"/>
      <c r="L18" s="62"/>
      <c r="M18" s="62"/>
    </row>
    <row r="19" spans="1:13" ht="25.5" customHeight="1" x14ac:dyDescent="0.2">
      <c r="A19" s="144">
        <v>13</v>
      </c>
      <c r="B19" s="153" t="s">
        <v>108</v>
      </c>
      <c r="C19" s="154">
        <v>200000</v>
      </c>
      <c r="D19" s="155"/>
      <c r="E19" s="155"/>
      <c r="F19" s="155"/>
      <c r="G19" s="154">
        <v>200000</v>
      </c>
      <c r="H19" s="162"/>
      <c r="I19" s="163"/>
      <c r="J19" s="164" t="s">
        <v>109</v>
      </c>
      <c r="K19" s="228"/>
      <c r="L19" s="62"/>
      <c r="M19" s="62"/>
    </row>
    <row r="20" spans="1:13" ht="25.5" customHeight="1" x14ac:dyDescent="0.2">
      <c r="A20" s="144">
        <v>14</v>
      </c>
      <c r="B20" s="153" t="s">
        <v>73</v>
      </c>
      <c r="C20" s="154">
        <v>100000</v>
      </c>
      <c r="D20" s="155"/>
      <c r="E20" s="155"/>
      <c r="F20" s="155"/>
      <c r="G20" s="154">
        <v>100000</v>
      </c>
      <c r="H20" s="156"/>
      <c r="I20" s="157"/>
      <c r="J20" s="164" t="s">
        <v>12</v>
      </c>
      <c r="K20" s="228"/>
      <c r="L20" s="62"/>
      <c r="M20" s="62"/>
    </row>
    <row r="21" spans="1:13" ht="25.5" customHeight="1" x14ac:dyDescent="0.2">
      <c r="A21" s="144">
        <v>15</v>
      </c>
      <c r="B21" s="153" t="s">
        <v>57</v>
      </c>
      <c r="C21" s="165">
        <v>10000</v>
      </c>
      <c r="D21" s="156"/>
      <c r="E21" s="156"/>
      <c r="F21" s="166">
        <v>10000</v>
      </c>
      <c r="G21" s="156"/>
      <c r="H21" s="156"/>
      <c r="I21" s="157"/>
      <c r="J21" s="164" t="s">
        <v>136</v>
      </c>
      <c r="K21" s="228"/>
      <c r="L21" s="62"/>
      <c r="M21" s="62"/>
    </row>
    <row r="22" spans="1:13" ht="25.5" customHeight="1" x14ac:dyDescent="0.2">
      <c r="A22" s="144">
        <v>16</v>
      </c>
      <c r="B22" s="153" t="s">
        <v>248</v>
      </c>
      <c r="C22" s="167">
        <f>250000*12</f>
        <v>3000000</v>
      </c>
      <c r="D22" s="168"/>
      <c r="E22" s="167">
        <f>250000*12</f>
        <v>3000000</v>
      </c>
      <c r="F22" s="168"/>
      <c r="G22" s="168"/>
      <c r="H22" s="156"/>
      <c r="I22" s="157"/>
      <c r="J22" s="164"/>
      <c r="K22" s="228"/>
      <c r="L22" s="62"/>
      <c r="M22" s="62"/>
    </row>
    <row r="23" spans="1:13" x14ac:dyDescent="0.2">
      <c r="A23" s="169"/>
      <c r="B23" s="170" t="s">
        <v>13</v>
      </c>
      <c r="C23" s="171">
        <f t="shared" ref="C23:I23" si="1">SUM(C7:C22)</f>
        <v>5336000</v>
      </c>
      <c r="D23" s="171">
        <f t="shared" si="1"/>
        <v>0</v>
      </c>
      <c r="E23" s="171">
        <f t="shared" si="1"/>
        <v>3000000</v>
      </c>
      <c r="F23" s="171">
        <f t="shared" si="1"/>
        <v>75000</v>
      </c>
      <c r="G23" s="171">
        <f t="shared" si="1"/>
        <v>2261000</v>
      </c>
      <c r="H23" s="171">
        <f t="shared" si="1"/>
        <v>0</v>
      </c>
      <c r="I23" s="172">
        <f t="shared" si="1"/>
        <v>0</v>
      </c>
      <c r="J23" s="173"/>
      <c r="K23" s="228"/>
      <c r="L23" s="65"/>
      <c r="M23" s="62"/>
    </row>
    <row r="24" spans="1:13" x14ac:dyDescent="0.2">
      <c r="A24" s="211" t="s">
        <v>14</v>
      </c>
      <c r="B24" s="211"/>
      <c r="C24" s="174"/>
      <c r="D24" s="175"/>
      <c r="E24" s="175"/>
      <c r="F24" s="175"/>
      <c r="G24" s="175"/>
      <c r="H24" s="175"/>
      <c r="I24" s="176"/>
      <c r="J24" s="177"/>
      <c r="K24" s="230"/>
      <c r="L24" s="62"/>
      <c r="M24" s="62"/>
    </row>
    <row r="25" spans="1:13" ht="40.5" customHeight="1" x14ac:dyDescent="0.2">
      <c r="A25" s="169">
        <v>17</v>
      </c>
      <c r="B25" s="153" t="s">
        <v>127</v>
      </c>
      <c r="C25" s="179">
        <v>10000</v>
      </c>
      <c r="D25" s="156"/>
      <c r="E25" s="156"/>
      <c r="F25" s="179">
        <v>10000</v>
      </c>
      <c r="G25" s="156"/>
      <c r="H25" s="156"/>
      <c r="I25" s="157"/>
      <c r="J25" s="180" t="s">
        <v>129</v>
      </c>
      <c r="K25" s="228"/>
      <c r="L25" s="62"/>
      <c r="M25" s="62"/>
    </row>
    <row r="26" spans="1:13" ht="21.75" customHeight="1" x14ac:dyDescent="0.2">
      <c r="A26" s="169">
        <v>18</v>
      </c>
      <c r="B26" s="149" t="s">
        <v>128</v>
      </c>
      <c r="C26" s="179">
        <v>10000</v>
      </c>
      <c r="D26" s="156"/>
      <c r="E26" s="156"/>
      <c r="F26" s="179">
        <v>10000</v>
      </c>
      <c r="G26" s="156"/>
      <c r="H26" s="156"/>
      <c r="I26" s="157"/>
      <c r="J26" s="180" t="s">
        <v>129</v>
      </c>
      <c r="K26" s="228"/>
      <c r="L26" s="62"/>
      <c r="M26" s="62"/>
    </row>
    <row r="27" spans="1:13" ht="39" x14ac:dyDescent="0.2">
      <c r="A27" s="169">
        <v>19</v>
      </c>
      <c r="B27" s="153" t="s">
        <v>195</v>
      </c>
      <c r="C27" s="154">
        <v>25000</v>
      </c>
      <c r="D27" s="155"/>
      <c r="E27" s="155"/>
      <c r="F27" s="155">
        <v>25000</v>
      </c>
      <c r="G27" s="154"/>
      <c r="H27" s="156"/>
      <c r="I27" s="157"/>
      <c r="J27" s="180" t="s">
        <v>130</v>
      </c>
      <c r="K27" s="229" t="s">
        <v>279</v>
      </c>
      <c r="L27" s="62"/>
      <c r="M27" s="62"/>
    </row>
    <row r="28" spans="1:13" ht="40.5" customHeight="1" x14ac:dyDescent="0.2">
      <c r="A28" s="169">
        <v>20</v>
      </c>
      <c r="B28" s="153" t="s">
        <v>196</v>
      </c>
      <c r="C28" s="155">
        <v>61000</v>
      </c>
      <c r="D28" s="155"/>
      <c r="E28" s="155"/>
      <c r="F28" s="155"/>
      <c r="G28" s="155"/>
      <c r="H28" s="156">
        <v>61000</v>
      </c>
      <c r="I28" s="157"/>
      <c r="J28" s="180" t="s">
        <v>130</v>
      </c>
      <c r="K28" s="228"/>
      <c r="L28" s="62"/>
      <c r="M28" s="62"/>
    </row>
    <row r="29" spans="1:13" ht="25.5" customHeight="1" x14ac:dyDescent="0.2">
      <c r="A29" s="169">
        <v>21</v>
      </c>
      <c r="B29" s="153" t="s">
        <v>197</v>
      </c>
      <c r="C29" s="154">
        <v>30000</v>
      </c>
      <c r="D29" s="155"/>
      <c r="E29" s="155"/>
      <c r="F29" s="155"/>
      <c r="G29" s="154">
        <v>30000</v>
      </c>
      <c r="H29" s="156"/>
      <c r="I29" s="157"/>
      <c r="J29" s="180" t="s">
        <v>130</v>
      </c>
      <c r="K29" s="228"/>
      <c r="L29" s="62"/>
      <c r="M29" s="62"/>
    </row>
    <row r="30" spans="1:13" ht="25.5" customHeight="1" x14ac:dyDescent="0.2">
      <c r="A30" s="169">
        <v>22</v>
      </c>
      <c r="B30" s="153" t="s">
        <v>131</v>
      </c>
      <c r="C30" s="181">
        <v>30000</v>
      </c>
      <c r="D30" s="156"/>
      <c r="E30" s="156"/>
      <c r="F30" s="156"/>
      <c r="G30" s="156"/>
      <c r="H30" s="156">
        <v>30000</v>
      </c>
      <c r="I30" s="157"/>
      <c r="J30" s="180" t="s">
        <v>132</v>
      </c>
      <c r="K30" s="228"/>
      <c r="L30" s="62"/>
      <c r="M30" s="62"/>
    </row>
    <row r="31" spans="1:13" x14ac:dyDescent="0.2">
      <c r="A31" s="169">
        <v>23</v>
      </c>
      <c r="B31" s="153" t="s">
        <v>249</v>
      </c>
      <c r="C31" s="181">
        <v>25000</v>
      </c>
      <c r="D31" s="156"/>
      <c r="E31" s="156"/>
      <c r="F31" s="156">
        <v>25000</v>
      </c>
      <c r="G31" s="156"/>
      <c r="H31" s="156"/>
      <c r="I31" s="157"/>
      <c r="J31" s="180" t="s">
        <v>250</v>
      </c>
      <c r="K31" s="228"/>
      <c r="L31" s="62"/>
      <c r="M31" s="62"/>
    </row>
    <row r="32" spans="1:13" x14ac:dyDescent="0.2">
      <c r="A32" s="169"/>
      <c r="B32" s="170" t="s">
        <v>15</v>
      </c>
      <c r="C32" s="171">
        <f>SUM(C25:C31)</f>
        <v>191000</v>
      </c>
      <c r="D32" s="171">
        <f t="shared" ref="D32:I32" si="2">SUM(D25:D30)</f>
        <v>0</v>
      </c>
      <c r="E32" s="171">
        <f t="shared" si="2"/>
        <v>0</v>
      </c>
      <c r="F32" s="171">
        <f t="shared" si="2"/>
        <v>45000</v>
      </c>
      <c r="G32" s="171">
        <f t="shared" si="2"/>
        <v>30000</v>
      </c>
      <c r="H32" s="171">
        <f t="shared" si="2"/>
        <v>91000</v>
      </c>
      <c r="I32" s="172">
        <f t="shared" si="2"/>
        <v>0</v>
      </c>
      <c r="J32" s="182"/>
      <c r="K32" s="228"/>
      <c r="L32" s="65"/>
      <c r="M32" s="62"/>
    </row>
    <row r="33" spans="1:13" x14ac:dyDescent="0.2">
      <c r="A33" s="211" t="s">
        <v>16</v>
      </c>
      <c r="B33" s="211"/>
      <c r="C33" s="174"/>
      <c r="D33" s="175"/>
      <c r="E33" s="175"/>
      <c r="F33" s="175"/>
      <c r="G33" s="175"/>
      <c r="H33" s="175"/>
      <c r="I33" s="176"/>
      <c r="J33" s="177"/>
      <c r="K33" s="230"/>
      <c r="L33" s="62"/>
      <c r="M33" s="62"/>
    </row>
    <row r="34" spans="1:13" ht="39" x14ac:dyDescent="0.2">
      <c r="A34" s="169">
        <v>24</v>
      </c>
      <c r="B34" s="153" t="s">
        <v>63</v>
      </c>
      <c r="C34" s="179">
        <v>8000</v>
      </c>
      <c r="D34" s="179">
        <v>8000</v>
      </c>
      <c r="E34" s="156"/>
      <c r="F34" s="156"/>
      <c r="G34" s="156"/>
      <c r="H34" s="156"/>
      <c r="I34" s="157"/>
      <c r="J34" s="173" t="s">
        <v>134</v>
      </c>
      <c r="K34" s="228"/>
      <c r="L34" s="62"/>
      <c r="M34" s="62"/>
    </row>
    <row r="35" spans="1:13" ht="23.25" customHeight="1" x14ac:dyDescent="0.2">
      <c r="A35" s="169">
        <v>25</v>
      </c>
      <c r="B35" s="153" t="s">
        <v>64</v>
      </c>
      <c r="C35" s="179">
        <v>5000</v>
      </c>
      <c r="D35" s="179">
        <v>5000</v>
      </c>
      <c r="E35" s="156"/>
      <c r="F35" s="156"/>
      <c r="G35" s="156"/>
      <c r="H35" s="156"/>
      <c r="I35" s="157"/>
      <c r="J35" s="173" t="s">
        <v>134</v>
      </c>
      <c r="K35" s="228"/>
      <c r="L35" s="62"/>
      <c r="M35" s="62"/>
    </row>
    <row r="36" spans="1:13" x14ac:dyDescent="0.2">
      <c r="A36" s="169">
        <v>26</v>
      </c>
      <c r="B36" s="149" t="s">
        <v>93</v>
      </c>
      <c r="C36" s="183">
        <v>20000</v>
      </c>
      <c r="D36" s="156"/>
      <c r="E36" s="156"/>
      <c r="F36" s="156"/>
      <c r="G36" s="156"/>
      <c r="H36" s="183">
        <v>20000</v>
      </c>
      <c r="I36" s="157"/>
      <c r="J36" s="173" t="s">
        <v>67</v>
      </c>
      <c r="K36" s="228"/>
      <c r="L36" s="62"/>
      <c r="M36" s="62"/>
    </row>
    <row r="37" spans="1:13" x14ac:dyDescent="0.2">
      <c r="A37" s="169">
        <v>27</v>
      </c>
      <c r="B37" s="153" t="s">
        <v>58</v>
      </c>
      <c r="C37" s="183">
        <v>2000</v>
      </c>
      <c r="D37" s="183">
        <v>2000</v>
      </c>
      <c r="E37" s="156"/>
      <c r="F37" s="156"/>
      <c r="G37" s="156"/>
      <c r="H37" s="156"/>
      <c r="I37" s="157"/>
      <c r="J37" s="173" t="s">
        <v>135</v>
      </c>
      <c r="K37" s="228"/>
      <c r="L37" s="62"/>
      <c r="M37" s="62"/>
    </row>
    <row r="38" spans="1:13" ht="40.5" customHeight="1" x14ac:dyDescent="0.2">
      <c r="A38" s="169">
        <v>28</v>
      </c>
      <c r="B38" s="153" t="s">
        <v>133</v>
      </c>
      <c r="C38" s="156">
        <v>2000</v>
      </c>
      <c r="D38" s="156"/>
      <c r="E38" s="156"/>
      <c r="F38" s="156">
        <v>2000</v>
      </c>
      <c r="G38" s="156"/>
      <c r="H38" s="156"/>
      <c r="I38" s="157"/>
      <c r="J38" s="173" t="s">
        <v>135</v>
      </c>
      <c r="K38" s="228"/>
      <c r="L38" s="62"/>
      <c r="M38" s="62"/>
    </row>
    <row r="39" spans="1:13" x14ac:dyDescent="0.2">
      <c r="A39" s="169">
        <v>29</v>
      </c>
      <c r="B39" s="153" t="s">
        <v>198</v>
      </c>
      <c r="C39" s="155">
        <v>30000</v>
      </c>
      <c r="D39" s="155"/>
      <c r="E39" s="155"/>
      <c r="F39" s="155">
        <v>30000</v>
      </c>
      <c r="G39" s="155"/>
      <c r="H39" s="156"/>
      <c r="I39" s="157"/>
      <c r="J39" s="173" t="s">
        <v>135</v>
      </c>
      <c r="K39" s="229" t="s">
        <v>278</v>
      </c>
      <c r="L39" s="62"/>
      <c r="M39" s="62"/>
    </row>
    <row r="40" spans="1:13" x14ac:dyDescent="0.2">
      <c r="A40" s="169">
        <v>30</v>
      </c>
      <c r="B40" s="153" t="s">
        <v>61</v>
      </c>
      <c r="C40" s="156">
        <v>7500</v>
      </c>
      <c r="D40" s="156"/>
      <c r="E40" s="156"/>
      <c r="F40" s="156"/>
      <c r="G40" s="156"/>
      <c r="H40" s="156">
        <v>7500</v>
      </c>
      <c r="I40" s="157"/>
      <c r="J40" s="173" t="s">
        <v>135</v>
      </c>
      <c r="K40" s="228"/>
      <c r="L40" s="62"/>
      <c r="M40" s="62"/>
    </row>
    <row r="41" spans="1:13" x14ac:dyDescent="0.2">
      <c r="A41" s="169">
        <v>31</v>
      </c>
      <c r="B41" s="153" t="s">
        <v>62</v>
      </c>
      <c r="C41" s="156">
        <v>8000</v>
      </c>
      <c r="D41" s="156"/>
      <c r="E41" s="156"/>
      <c r="F41" s="156">
        <v>8000</v>
      </c>
      <c r="G41" s="156"/>
      <c r="H41" s="156"/>
      <c r="I41" s="157"/>
      <c r="J41" s="173" t="s">
        <v>135</v>
      </c>
      <c r="K41" s="228"/>
      <c r="L41" s="62"/>
      <c r="M41" s="62"/>
    </row>
    <row r="42" spans="1:13" ht="24.75" customHeight="1" x14ac:dyDescent="0.2">
      <c r="A42" s="169">
        <v>32</v>
      </c>
      <c r="B42" s="153" t="s">
        <v>81</v>
      </c>
      <c r="C42" s="154">
        <v>15000</v>
      </c>
      <c r="D42" s="155"/>
      <c r="E42" s="155"/>
      <c r="F42" s="155"/>
      <c r="G42" s="154">
        <v>15000</v>
      </c>
      <c r="H42" s="156"/>
      <c r="I42" s="157"/>
      <c r="J42" s="173" t="s">
        <v>90</v>
      </c>
      <c r="K42" s="228"/>
      <c r="L42" s="62"/>
      <c r="M42" s="62"/>
    </row>
    <row r="43" spans="1:13" x14ac:dyDescent="0.2">
      <c r="A43" s="169">
        <v>33</v>
      </c>
      <c r="B43" s="153" t="s">
        <v>82</v>
      </c>
      <c r="C43" s="154">
        <v>105000</v>
      </c>
      <c r="D43" s="155"/>
      <c r="E43" s="155"/>
      <c r="F43" s="155"/>
      <c r="G43" s="154">
        <v>105000</v>
      </c>
      <c r="H43" s="156"/>
      <c r="I43" s="157"/>
      <c r="J43" s="173" t="s">
        <v>90</v>
      </c>
      <c r="K43" s="228"/>
      <c r="L43" s="62"/>
      <c r="M43" s="62"/>
    </row>
    <row r="44" spans="1:13" ht="21.75" customHeight="1" x14ac:dyDescent="0.2">
      <c r="A44" s="169">
        <v>34</v>
      </c>
      <c r="B44" s="153" t="s">
        <v>83</v>
      </c>
      <c r="C44" s="154">
        <v>175000</v>
      </c>
      <c r="D44" s="155"/>
      <c r="E44" s="155"/>
      <c r="F44" s="155"/>
      <c r="G44" s="154">
        <v>175000</v>
      </c>
      <c r="H44" s="156"/>
      <c r="I44" s="157"/>
      <c r="J44" s="173" t="s">
        <v>90</v>
      </c>
      <c r="K44" s="228"/>
      <c r="L44" s="62"/>
      <c r="M44" s="62"/>
    </row>
    <row r="45" spans="1:13" ht="21.75" customHeight="1" x14ac:dyDescent="0.2">
      <c r="A45" s="169">
        <v>35</v>
      </c>
      <c r="B45" s="153" t="s">
        <v>48</v>
      </c>
      <c r="C45" s="181">
        <v>15000</v>
      </c>
      <c r="D45" s="156"/>
      <c r="E45" s="156"/>
      <c r="F45" s="156"/>
      <c r="G45" s="156"/>
      <c r="H45" s="156">
        <v>15000</v>
      </c>
      <c r="I45" s="157"/>
      <c r="J45" s="173" t="s">
        <v>51</v>
      </c>
      <c r="K45" s="228"/>
      <c r="L45" s="62"/>
      <c r="M45" s="62"/>
    </row>
    <row r="46" spans="1:13" x14ac:dyDescent="0.2">
      <c r="A46" s="169">
        <v>36</v>
      </c>
      <c r="B46" s="149" t="s">
        <v>49</v>
      </c>
      <c r="C46" s="156">
        <v>142000</v>
      </c>
      <c r="D46" s="156"/>
      <c r="E46" s="156"/>
      <c r="F46" s="156"/>
      <c r="G46" s="156"/>
      <c r="H46" s="156">
        <v>142000</v>
      </c>
      <c r="I46" s="157"/>
      <c r="J46" s="173" t="s">
        <v>51</v>
      </c>
      <c r="K46" s="228"/>
      <c r="L46" s="62"/>
      <c r="M46" s="62"/>
    </row>
    <row r="47" spans="1:13" ht="46.5" customHeight="1" x14ac:dyDescent="0.2">
      <c r="A47" s="169">
        <v>37</v>
      </c>
      <c r="B47" s="153" t="s">
        <v>50</v>
      </c>
      <c r="C47" s="154">
        <v>100000</v>
      </c>
      <c r="D47" s="155"/>
      <c r="E47" s="155"/>
      <c r="F47" s="155"/>
      <c r="G47" s="154">
        <v>100000</v>
      </c>
      <c r="H47" s="156"/>
      <c r="I47" s="157"/>
      <c r="J47" s="173" t="s">
        <v>51</v>
      </c>
      <c r="K47" s="228"/>
      <c r="L47" s="62"/>
      <c r="M47" s="62"/>
    </row>
    <row r="48" spans="1:13" ht="39" x14ac:dyDescent="0.2">
      <c r="A48" s="169">
        <v>38</v>
      </c>
      <c r="B48" s="153" t="s">
        <v>274</v>
      </c>
      <c r="C48" s="154">
        <v>10000</v>
      </c>
      <c r="D48" s="155">
        <v>10000</v>
      </c>
      <c r="E48" s="155"/>
      <c r="F48" s="155"/>
      <c r="G48" s="154"/>
      <c r="H48" s="156"/>
      <c r="I48" s="157"/>
      <c r="J48" s="173" t="s">
        <v>51</v>
      </c>
      <c r="K48" s="229">
        <f>3000+4950</f>
        <v>7950</v>
      </c>
      <c r="L48" s="62"/>
      <c r="M48" s="62"/>
    </row>
    <row r="49" spans="1:13" ht="27" customHeight="1" x14ac:dyDescent="0.2">
      <c r="A49" s="169"/>
      <c r="B49" s="170" t="s">
        <v>17</v>
      </c>
      <c r="C49" s="171">
        <f>SUM(C34:C48)</f>
        <v>644500</v>
      </c>
      <c r="D49" s="184">
        <f>SUM(D34:D47)</f>
        <v>15000</v>
      </c>
      <c r="E49" s="184">
        <f>SUM(E34:E47)</f>
        <v>0</v>
      </c>
      <c r="F49" s="184">
        <f>SUM(F34:F47)</f>
        <v>40000</v>
      </c>
      <c r="G49" s="184">
        <f>SUM(G34:G48)</f>
        <v>395000</v>
      </c>
      <c r="H49" s="184">
        <f>SUM(H34:H47)</f>
        <v>184500</v>
      </c>
      <c r="I49" s="185">
        <f>SUM(I34:I47)</f>
        <v>0</v>
      </c>
      <c r="J49" s="182"/>
      <c r="K49" s="228"/>
      <c r="L49" s="65"/>
      <c r="M49" s="62"/>
    </row>
    <row r="50" spans="1:13" x14ac:dyDescent="0.2">
      <c r="A50" s="211" t="s">
        <v>18</v>
      </c>
      <c r="B50" s="211"/>
      <c r="C50" s="174"/>
      <c r="D50" s="175"/>
      <c r="E50" s="175"/>
      <c r="F50" s="175"/>
      <c r="G50" s="175"/>
      <c r="H50" s="175"/>
      <c r="I50" s="176"/>
      <c r="J50" s="177"/>
      <c r="K50" s="230"/>
      <c r="L50" s="62"/>
      <c r="M50" s="62"/>
    </row>
    <row r="51" spans="1:13" ht="27" customHeight="1" x14ac:dyDescent="0.2">
      <c r="A51" s="169">
        <v>39</v>
      </c>
      <c r="B51" s="236" t="s">
        <v>276</v>
      </c>
      <c r="C51" s="155">
        <v>30000</v>
      </c>
      <c r="D51" s="155"/>
      <c r="E51" s="155"/>
      <c r="F51" s="155"/>
      <c r="G51" s="155">
        <v>30000</v>
      </c>
      <c r="H51" s="156"/>
      <c r="I51" s="157"/>
      <c r="J51" s="173" t="s">
        <v>20</v>
      </c>
      <c r="K51" s="228"/>
      <c r="L51" s="62"/>
      <c r="M51" s="62"/>
    </row>
    <row r="52" spans="1:13" ht="29.25" customHeight="1" x14ac:dyDescent="0.2">
      <c r="A52" s="169">
        <v>40</v>
      </c>
      <c r="B52" s="236" t="s">
        <v>251</v>
      </c>
      <c r="C52" s="154">
        <v>5000</v>
      </c>
      <c r="D52" s="155"/>
      <c r="E52" s="155"/>
      <c r="F52" s="155"/>
      <c r="G52" s="154">
        <v>5000</v>
      </c>
      <c r="H52" s="156"/>
      <c r="I52" s="157"/>
      <c r="J52" s="173" t="s">
        <v>20</v>
      </c>
      <c r="K52" s="228"/>
      <c r="L52" s="62"/>
      <c r="M52" s="62"/>
    </row>
    <row r="53" spans="1:13" ht="42.75" customHeight="1" x14ac:dyDescent="0.2">
      <c r="A53" s="169">
        <v>41</v>
      </c>
      <c r="B53" s="236" t="s">
        <v>252</v>
      </c>
      <c r="C53" s="155">
        <v>65000</v>
      </c>
      <c r="D53" s="155"/>
      <c r="E53" s="155"/>
      <c r="F53" s="155"/>
      <c r="G53" s="155">
        <v>65000</v>
      </c>
      <c r="H53" s="156"/>
      <c r="I53" s="157"/>
      <c r="J53" s="173" t="s">
        <v>20</v>
      </c>
      <c r="K53" s="228"/>
      <c r="L53" s="62"/>
      <c r="M53" s="62"/>
    </row>
    <row r="54" spans="1:13" ht="39" x14ac:dyDescent="0.2">
      <c r="A54" s="169">
        <v>42</v>
      </c>
      <c r="B54" s="236" t="s">
        <v>103</v>
      </c>
      <c r="C54" s="181">
        <v>6500</v>
      </c>
      <c r="D54" s="181">
        <v>6500</v>
      </c>
      <c r="E54" s="156"/>
      <c r="F54" s="156"/>
      <c r="G54" s="156"/>
      <c r="H54" s="156"/>
      <c r="I54" s="157"/>
      <c r="J54" s="173" t="s">
        <v>20</v>
      </c>
      <c r="K54" s="228"/>
      <c r="L54" s="62"/>
      <c r="M54" s="62"/>
    </row>
    <row r="55" spans="1:13" ht="45" customHeight="1" x14ac:dyDescent="0.2">
      <c r="A55" s="169">
        <v>43</v>
      </c>
      <c r="B55" s="238" t="s">
        <v>253</v>
      </c>
      <c r="C55" s="155">
        <v>2300</v>
      </c>
      <c r="D55" s="155"/>
      <c r="E55" s="155"/>
      <c r="F55" s="155"/>
      <c r="G55" s="155">
        <v>2300</v>
      </c>
      <c r="H55" s="156"/>
      <c r="I55" s="157"/>
      <c r="J55" s="173" t="s">
        <v>47</v>
      </c>
      <c r="K55" s="228"/>
      <c r="L55" s="62"/>
      <c r="M55" s="62" t="s">
        <v>19</v>
      </c>
    </row>
    <row r="56" spans="1:13" ht="42" customHeight="1" x14ac:dyDescent="0.2">
      <c r="A56" s="169">
        <v>44</v>
      </c>
      <c r="B56" s="237" t="s">
        <v>44</v>
      </c>
      <c r="C56" s="154">
        <v>33200</v>
      </c>
      <c r="D56" s="159"/>
      <c r="E56" s="159"/>
      <c r="F56" s="159"/>
      <c r="G56" s="154">
        <v>33200</v>
      </c>
      <c r="H56" s="160"/>
      <c r="I56" s="149"/>
      <c r="J56" s="173" t="s">
        <v>47</v>
      </c>
      <c r="K56" s="231"/>
      <c r="L56" s="62"/>
      <c r="M56" s="62"/>
    </row>
    <row r="57" spans="1:13" x14ac:dyDescent="0.2">
      <c r="A57" s="169">
        <v>45</v>
      </c>
      <c r="B57" s="153" t="s">
        <v>45</v>
      </c>
      <c r="C57" s="154">
        <v>14500</v>
      </c>
      <c r="D57" s="154"/>
      <c r="E57" s="154"/>
      <c r="F57" s="154"/>
      <c r="G57" s="154">
        <v>14500</v>
      </c>
      <c r="H57" s="181"/>
      <c r="I57" s="187"/>
      <c r="J57" s="173" t="s">
        <v>47</v>
      </c>
      <c r="K57" s="231"/>
      <c r="L57" s="62"/>
      <c r="M57" s="62"/>
    </row>
    <row r="58" spans="1:13" ht="39" x14ac:dyDescent="0.2">
      <c r="A58" s="169">
        <v>46</v>
      </c>
      <c r="B58" s="153" t="s">
        <v>147</v>
      </c>
      <c r="C58" s="181">
        <v>2500</v>
      </c>
      <c r="D58" s="181">
        <v>2500</v>
      </c>
      <c r="E58" s="156"/>
      <c r="F58" s="156"/>
      <c r="G58" s="156"/>
      <c r="H58" s="156"/>
      <c r="I58" s="157"/>
      <c r="J58" s="173" t="s">
        <v>47</v>
      </c>
      <c r="K58" s="228"/>
      <c r="L58" s="62"/>
      <c r="M58" s="62"/>
    </row>
    <row r="59" spans="1:13" x14ac:dyDescent="0.2">
      <c r="A59" s="169">
        <v>47</v>
      </c>
      <c r="B59" s="153" t="s">
        <v>148</v>
      </c>
      <c r="C59" s="154">
        <v>50000</v>
      </c>
      <c r="D59" s="155"/>
      <c r="E59" s="155"/>
      <c r="F59" s="155"/>
      <c r="G59" s="154">
        <v>50000</v>
      </c>
      <c r="H59" s="188"/>
      <c r="I59" s="157"/>
      <c r="J59" s="180" t="s">
        <v>122</v>
      </c>
      <c r="K59" s="228"/>
      <c r="L59" s="62"/>
      <c r="M59" s="62"/>
    </row>
    <row r="60" spans="1:13" ht="24" customHeight="1" x14ac:dyDescent="0.2">
      <c r="A60" s="169">
        <v>48</v>
      </c>
      <c r="B60" s="153" t="s">
        <v>149</v>
      </c>
      <c r="C60" s="181">
        <v>0</v>
      </c>
      <c r="D60" s="156"/>
      <c r="E60" s="156"/>
      <c r="F60" s="156"/>
      <c r="G60" s="156" t="s">
        <v>191</v>
      </c>
      <c r="H60" s="188"/>
      <c r="I60" s="157"/>
      <c r="J60" s="180" t="s">
        <v>122</v>
      </c>
      <c r="K60" s="228"/>
      <c r="L60" s="62"/>
      <c r="M60" s="62"/>
    </row>
    <row r="61" spans="1:13" ht="39.75" customHeight="1" x14ac:dyDescent="0.2">
      <c r="A61" s="169">
        <v>49</v>
      </c>
      <c r="B61" s="153" t="s">
        <v>137</v>
      </c>
      <c r="C61" s="181">
        <v>3980</v>
      </c>
      <c r="D61" s="181">
        <v>3980</v>
      </c>
      <c r="E61" s="156"/>
      <c r="F61" s="156"/>
      <c r="G61" s="156"/>
      <c r="H61" s="188"/>
      <c r="I61" s="157"/>
      <c r="J61" s="180" t="s">
        <v>122</v>
      </c>
      <c r="K61" s="228"/>
      <c r="L61" s="62"/>
      <c r="M61" s="62"/>
    </row>
    <row r="62" spans="1:13" ht="45" customHeight="1" x14ac:dyDescent="0.2">
      <c r="A62" s="169">
        <v>50</v>
      </c>
      <c r="B62" s="153" t="s">
        <v>269</v>
      </c>
      <c r="C62" s="155">
        <v>48700</v>
      </c>
      <c r="D62" s="155"/>
      <c r="E62" s="155"/>
      <c r="F62" s="155"/>
      <c r="G62" s="155">
        <v>48700</v>
      </c>
      <c r="H62" s="162"/>
      <c r="I62" s="157"/>
      <c r="J62" s="208" t="s">
        <v>123</v>
      </c>
      <c r="K62" s="229">
        <v>48700</v>
      </c>
      <c r="L62" s="62"/>
      <c r="M62" s="62"/>
    </row>
    <row r="63" spans="1:13" ht="24" customHeight="1" x14ac:dyDescent="0.2">
      <c r="A63" s="169">
        <v>51</v>
      </c>
      <c r="B63" s="153" t="s">
        <v>125</v>
      </c>
      <c r="C63" s="155">
        <v>2000</v>
      </c>
      <c r="D63" s="155"/>
      <c r="E63" s="155"/>
      <c r="F63" s="155"/>
      <c r="G63" s="155">
        <v>2000</v>
      </c>
      <c r="H63" s="188"/>
      <c r="I63" s="157"/>
      <c r="J63" s="209" t="s">
        <v>123</v>
      </c>
      <c r="K63" s="228"/>
      <c r="L63" s="62"/>
      <c r="M63" s="62"/>
    </row>
    <row r="64" spans="1:13" ht="42" customHeight="1" x14ac:dyDescent="0.2">
      <c r="A64" s="169">
        <v>52</v>
      </c>
      <c r="B64" s="153" t="s">
        <v>244</v>
      </c>
      <c r="C64" s="155">
        <f>100*20</f>
        <v>2000</v>
      </c>
      <c r="D64" s="155">
        <v>2000</v>
      </c>
      <c r="E64" s="155"/>
      <c r="F64" s="155"/>
      <c r="G64" s="155"/>
      <c r="H64" s="188"/>
      <c r="I64" s="157"/>
      <c r="J64" s="209" t="s">
        <v>123</v>
      </c>
      <c r="K64" s="228"/>
      <c r="L64" s="62"/>
      <c r="M64" s="62"/>
    </row>
    <row r="65" spans="1:13" ht="21.75" customHeight="1" x14ac:dyDescent="0.2">
      <c r="A65" s="169">
        <v>53</v>
      </c>
      <c r="B65" s="186" t="s">
        <v>254</v>
      </c>
      <c r="C65" s="154">
        <v>50000</v>
      </c>
      <c r="D65" s="155"/>
      <c r="E65" s="155"/>
      <c r="F65" s="155"/>
      <c r="G65" s="154">
        <v>50000</v>
      </c>
      <c r="H65" s="156"/>
      <c r="I65" s="157"/>
      <c r="J65" s="173" t="s">
        <v>107</v>
      </c>
      <c r="K65" s="229">
        <v>50000</v>
      </c>
      <c r="L65" s="62"/>
      <c r="M65" s="62"/>
    </row>
    <row r="66" spans="1:13" x14ac:dyDescent="0.2">
      <c r="A66" s="169">
        <v>54</v>
      </c>
      <c r="B66" s="186" t="s">
        <v>106</v>
      </c>
      <c r="C66" s="181">
        <v>850</v>
      </c>
      <c r="D66" s="181">
        <v>850</v>
      </c>
      <c r="E66" s="156"/>
      <c r="F66" s="156"/>
      <c r="G66" s="156"/>
      <c r="H66" s="156"/>
      <c r="I66" s="157"/>
      <c r="J66" s="173" t="s">
        <v>107</v>
      </c>
      <c r="K66" s="228"/>
      <c r="L66" s="62"/>
      <c r="M66" s="62"/>
    </row>
    <row r="67" spans="1:13" ht="39" x14ac:dyDescent="0.2">
      <c r="A67" s="169">
        <v>55</v>
      </c>
      <c r="B67" s="186" t="s">
        <v>267</v>
      </c>
      <c r="C67" s="154">
        <v>3850000</v>
      </c>
      <c r="D67" s="155"/>
      <c r="E67" s="155"/>
      <c r="F67" s="155"/>
      <c r="G67" s="154"/>
      <c r="H67" s="156"/>
      <c r="I67" s="156">
        <v>3850000</v>
      </c>
      <c r="J67" s="173" t="s">
        <v>107</v>
      </c>
      <c r="K67" s="235" t="s">
        <v>268</v>
      </c>
      <c r="L67" s="62"/>
      <c r="M67" s="62"/>
    </row>
    <row r="68" spans="1:13" ht="42.75" customHeight="1" x14ac:dyDescent="0.2">
      <c r="A68" s="169">
        <v>56</v>
      </c>
      <c r="B68" s="236" t="s">
        <v>277</v>
      </c>
      <c r="C68" s="154">
        <v>50000</v>
      </c>
      <c r="D68" s="155"/>
      <c r="E68" s="155"/>
      <c r="F68" s="155"/>
      <c r="G68" s="154">
        <v>50000</v>
      </c>
      <c r="H68" s="156"/>
      <c r="I68" s="157"/>
      <c r="J68" s="173" t="s">
        <v>54</v>
      </c>
      <c r="K68" s="228"/>
      <c r="L68" s="62"/>
      <c r="M68" s="62"/>
    </row>
    <row r="69" spans="1:13" ht="39" x14ac:dyDescent="0.2">
      <c r="A69" s="169">
        <v>57</v>
      </c>
      <c r="B69" s="186" t="s">
        <v>118</v>
      </c>
      <c r="C69" s="181">
        <v>3050</v>
      </c>
      <c r="D69" s="181"/>
      <c r="E69" s="189"/>
      <c r="F69" s="181">
        <v>3050</v>
      </c>
      <c r="G69" s="156"/>
      <c r="H69" s="156"/>
      <c r="I69" s="157"/>
      <c r="J69" s="180" t="s">
        <v>124</v>
      </c>
      <c r="K69" s="228"/>
      <c r="L69" s="62"/>
      <c r="M69" s="62"/>
    </row>
    <row r="70" spans="1:13" ht="63.75" customHeight="1" x14ac:dyDescent="0.2">
      <c r="A70" s="169">
        <v>58</v>
      </c>
      <c r="B70" s="186" t="s">
        <v>271</v>
      </c>
      <c r="C70" s="181">
        <v>42000</v>
      </c>
      <c r="D70" s="189"/>
      <c r="E70" s="189"/>
      <c r="F70" s="181">
        <v>42000</v>
      </c>
      <c r="G70" s="156"/>
      <c r="H70" s="156"/>
      <c r="I70" s="157"/>
      <c r="J70" s="180" t="s">
        <v>99</v>
      </c>
      <c r="K70" s="229">
        <v>38200</v>
      </c>
      <c r="L70" s="62"/>
      <c r="M70" s="62"/>
    </row>
    <row r="71" spans="1:13" ht="27" customHeight="1" x14ac:dyDescent="0.2">
      <c r="A71" s="169">
        <v>59</v>
      </c>
      <c r="B71" s="153" t="s">
        <v>138</v>
      </c>
      <c r="C71" s="179">
        <v>2000</v>
      </c>
      <c r="D71" s="156"/>
      <c r="E71" s="156"/>
      <c r="F71" s="179">
        <v>2000</v>
      </c>
      <c r="G71" s="156"/>
      <c r="H71" s="156"/>
      <c r="I71" s="157"/>
      <c r="J71" s="180" t="s">
        <v>99</v>
      </c>
      <c r="K71" s="228"/>
      <c r="L71" s="62"/>
      <c r="M71" s="62"/>
    </row>
    <row r="72" spans="1:13" ht="39" x14ac:dyDescent="0.2">
      <c r="A72" s="169">
        <v>60</v>
      </c>
      <c r="B72" s="153" t="s">
        <v>272</v>
      </c>
      <c r="C72" s="179">
        <v>250000</v>
      </c>
      <c r="D72" s="179"/>
      <c r="E72" s="156"/>
      <c r="F72" s="179">
        <v>250000</v>
      </c>
      <c r="G72" s="156"/>
      <c r="H72" s="156"/>
      <c r="I72" s="157"/>
      <c r="J72" s="180" t="s">
        <v>99</v>
      </c>
      <c r="K72" s="229">
        <f>18163+1990+9999.07+121860+7984</f>
        <v>159996.07</v>
      </c>
      <c r="L72" s="62"/>
      <c r="M72" s="62"/>
    </row>
    <row r="73" spans="1:13" ht="39" x14ac:dyDescent="0.2">
      <c r="A73" s="169">
        <v>61</v>
      </c>
      <c r="B73" s="153" t="s">
        <v>199</v>
      </c>
      <c r="C73" s="190">
        <v>32000</v>
      </c>
      <c r="D73" s="191"/>
      <c r="E73" s="191"/>
      <c r="F73" s="190">
        <v>32000</v>
      </c>
      <c r="G73" s="190"/>
      <c r="H73" s="156"/>
      <c r="I73" s="157"/>
      <c r="J73" s="180" t="s">
        <v>99</v>
      </c>
      <c r="K73" s="228"/>
      <c r="L73" s="62"/>
      <c r="M73" s="62"/>
    </row>
    <row r="74" spans="1:13" ht="42" customHeight="1" x14ac:dyDescent="0.2">
      <c r="A74" s="169">
        <v>62</v>
      </c>
      <c r="B74" s="153" t="s">
        <v>98</v>
      </c>
      <c r="C74" s="190">
        <v>5650</v>
      </c>
      <c r="D74" s="191"/>
      <c r="E74" s="191"/>
      <c r="F74" s="190">
        <v>5650</v>
      </c>
      <c r="G74" s="190"/>
      <c r="H74" s="156"/>
      <c r="I74" s="157"/>
      <c r="J74" s="180" t="s">
        <v>99</v>
      </c>
      <c r="K74" s="228"/>
      <c r="L74" s="62"/>
      <c r="M74" s="62"/>
    </row>
    <row r="75" spans="1:13" x14ac:dyDescent="0.2">
      <c r="A75" s="169">
        <v>63</v>
      </c>
      <c r="B75" s="153" t="s">
        <v>139</v>
      </c>
      <c r="C75" s="181">
        <v>14000</v>
      </c>
      <c r="D75" s="156"/>
      <c r="E75" s="156"/>
      <c r="F75" s="181">
        <v>14000</v>
      </c>
      <c r="G75" s="156"/>
      <c r="H75" s="156"/>
      <c r="I75" s="157"/>
      <c r="J75" s="173" t="s">
        <v>87</v>
      </c>
      <c r="K75" s="228"/>
      <c r="L75" s="62"/>
      <c r="M75" s="62"/>
    </row>
    <row r="76" spans="1:13" ht="58.5" x14ac:dyDescent="0.2">
      <c r="A76" s="169">
        <v>64</v>
      </c>
      <c r="B76" s="153" t="s">
        <v>140</v>
      </c>
      <c r="C76" s="181">
        <v>0</v>
      </c>
      <c r="D76" s="156"/>
      <c r="E76" s="156"/>
      <c r="F76" s="181">
        <v>0</v>
      </c>
      <c r="G76" s="156"/>
      <c r="H76" s="156"/>
      <c r="I76" s="157"/>
      <c r="J76" s="173" t="s">
        <v>87</v>
      </c>
      <c r="K76" s="201"/>
      <c r="L76" s="62"/>
      <c r="M76" s="62"/>
    </row>
    <row r="77" spans="1:13" x14ac:dyDescent="0.2">
      <c r="A77" s="169">
        <v>65</v>
      </c>
      <c r="B77" s="149" t="s">
        <v>141</v>
      </c>
      <c r="C77" s="179">
        <v>5000</v>
      </c>
      <c r="D77" s="156"/>
      <c r="E77" s="156"/>
      <c r="F77" s="179">
        <v>5000</v>
      </c>
      <c r="G77" s="156"/>
      <c r="H77" s="156"/>
      <c r="I77" s="157"/>
      <c r="J77" s="173" t="s">
        <v>87</v>
      </c>
      <c r="K77" s="201"/>
      <c r="L77" s="62"/>
      <c r="M77" s="62"/>
    </row>
    <row r="78" spans="1:13" x14ac:dyDescent="0.2">
      <c r="A78" s="169">
        <v>66</v>
      </c>
      <c r="B78" s="153" t="s">
        <v>142</v>
      </c>
      <c r="C78" s="179">
        <v>5165</v>
      </c>
      <c r="D78" s="156"/>
      <c r="E78" s="156"/>
      <c r="F78" s="179">
        <v>5165</v>
      </c>
      <c r="G78" s="156"/>
      <c r="H78" s="156"/>
      <c r="I78" s="156"/>
      <c r="J78" s="173" t="s">
        <v>89</v>
      </c>
      <c r="K78" s="201"/>
      <c r="L78" s="62"/>
      <c r="M78" s="62"/>
    </row>
    <row r="79" spans="1:13" x14ac:dyDescent="0.2">
      <c r="A79" s="169">
        <v>67</v>
      </c>
      <c r="B79" s="153" t="s">
        <v>143</v>
      </c>
      <c r="C79" s="179">
        <v>10000</v>
      </c>
      <c r="D79" s="156"/>
      <c r="E79" s="156"/>
      <c r="F79" s="179">
        <v>10000</v>
      </c>
      <c r="G79" s="156"/>
      <c r="H79" s="156"/>
      <c r="I79" s="157"/>
      <c r="J79" s="173" t="s">
        <v>89</v>
      </c>
      <c r="K79" s="201"/>
      <c r="L79" s="62"/>
      <c r="M79" s="62"/>
    </row>
    <row r="80" spans="1:13" ht="38.25" customHeight="1" x14ac:dyDescent="0.2">
      <c r="A80" s="169">
        <v>68</v>
      </c>
      <c r="B80" s="153" t="s">
        <v>144</v>
      </c>
      <c r="C80" s="179">
        <v>0</v>
      </c>
      <c r="D80" s="156"/>
      <c r="E80" s="156"/>
      <c r="F80" s="156"/>
      <c r="G80" s="156"/>
      <c r="H80" s="179" t="s">
        <v>191</v>
      </c>
      <c r="I80" s="157"/>
      <c r="J80" s="192" t="s">
        <v>86</v>
      </c>
      <c r="K80" s="201"/>
      <c r="L80" s="62"/>
      <c r="M80" s="62"/>
    </row>
    <row r="81" spans="1:13" ht="42" customHeight="1" x14ac:dyDescent="0.2">
      <c r="A81" s="169">
        <v>69</v>
      </c>
      <c r="B81" s="153" t="s">
        <v>145</v>
      </c>
      <c r="C81" s="183">
        <v>9100</v>
      </c>
      <c r="D81" s="156"/>
      <c r="E81" s="156"/>
      <c r="F81" s="156"/>
      <c r="G81" s="156">
        <v>9100</v>
      </c>
      <c r="H81" s="183"/>
      <c r="I81" s="157"/>
      <c r="J81" s="192" t="s">
        <v>86</v>
      </c>
      <c r="K81" s="162"/>
      <c r="L81" s="62"/>
      <c r="M81" s="62"/>
    </row>
    <row r="82" spans="1:13" ht="39" x14ac:dyDescent="0.2">
      <c r="A82" s="169">
        <v>70</v>
      </c>
      <c r="B82" s="153" t="s">
        <v>146</v>
      </c>
      <c r="C82" s="179">
        <v>9695</v>
      </c>
      <c r="D82" s="156"/>
      <c r="E82" s="156"/>
      <c r="F82" s="156"/>
      <c r="G82" s="156">
        <v>9695</v>
      </c>
      <c r="H82" s="179"/>
      <c r="I82" s="157"/>
      <c r="J82" s="192" t="s">
        <v>86</v>
      </c>
      <c r="K82" s="162"/>
      <c r="L82" s="62"/>
      <c r="M82" s="62"/>
    </row>
    <row r="83" spans="1:13" ht="63" customHeight="1" x14ac:dyDescent="0.2">
      <c r="A83" s="169">
        <v>71</v>
      </c>
      <c r="B83" s="153" t="s">
        <v>72</v>
      </c>
      <c r="C83" s="179">
        <v>20200</v>
      </c>
      <c r="D83" s="156"/>
      <c r="E83" s="156"/>
      <c r="F83" s="156"/>
      <c r="G83" s="156"/>
      <c r="H83" s="179">
        <v>20200</v>
      </c>
      <c r="I83" s="157"/>
      <c r="J83" s="192" t="s">
        <v>86</v>
      </c>
      <c r="K83" s="162"/>
      <c r="L83" s="62"/>
      <c r="M83" s="62"/>
    </row>
    <row r="84" spans="1:13" x14ac:dyDescent="0.2">
      <c r="A84" s="169">
        <v>72</v>
      </c>
      <c r="B84" s="153" t="s">
        <v>84</v>
      </c>
      <c r="C84" s="179">
        <v>13400</v>
      </c>
      <c r="D84" s="156"/>
      <c r="E84" s="156"/>
      <c r="F84" s="179">
        <v>13400</v>
      </c>
      <c r="G84" s="156"/>
      <c r="H84" s="156"/>
      <c r="I84" s="157"/>
      <c r="J84" s="192" t="s">
        <v>91</v>
      </c>
      <c r="K84" s="162"/>
      <c r="L84" s="62"/>
      <c r="M84" s="62"/>
    </row>
    <row r="85" spans="1:13" x14ac:dyDescent="0.2">
      <c r="A85" s="169">
        <v>73</v>
      </c>
      <c r="B85" s="149" t="s">
        <v>85</v>
      </c>
      <c r="C85" s="179" t="s">
        <v>52</v>
      </c>
      <c r="D85" s="156"/>
      <c r="E85" s="156"/>
      <c r="F85" s="156"/>
      <c r="G85" s="156"/>
      <c r="H85" s="156"/>
      <c r="I85" s="157"/>
      <c r="J85" s="192" t="s">
        <v>91</v>
      </c>
      <c r="K85" s="162"/>
      <c r="L85" s="62"/>
      <c r="M85" s="62"/>
    </row>
    <row r="86" spans="1:13" x14ac:dyDescent="0.2">
      <c r="A86" s="169">
        <v>74</v>
      </c>
      <c r="B86" s="153" t="s">
        <v>194</v>
      </c>
      <c r="C86" s="156">
        <v>10000</v>
      </c>
      <c r="D86" s="156"/>
      <c r="E86" s="156"/>
      <c r="F86" s="156">
        <v>10000</v>
      </c>
      <c r="G86" s="184"/>
      <c r="H86" s="184"/>
      <c r="I86" s="185"/>
      <c r="J86" s="161" t="s">
        <v>243</v>
      </c>
      <c r="K86" s="228"/>
      <c r="L86" s="62"/>
      <c r="M86" s="62"/>
    </row>
    <row r="87" spans="1:13" x14ac:dyDescent="0.2">
      <c r="A87" s="169">
        <v>75</v>
      </c>
      <c r="B87" s="153" t="s">
        <v>192</v>
      </c>
      <c r="C87" s="156">
        <v>10000</v>
      </c>
      <c r="D87" s="156" t="s">
        <v>191</v>
      </c>
      <c r="E87" s="156"/>
      <c r="F87" s="184"/>
      <c r="G87" s="184"/>
      <c r="H87" s="184">
        <v>10000</v>
      </c>
      <c r="I87" s="185"/>
      <c r="J87" s="149" t="s">
        <v>256</v>
      </c>
      <c r="K87" s="228"/>
      <c r="L87" s="62"/>
      <c r="M87" s="62"/>
    </row>
    <row r="88" spans="1:13" ht="22.5" customHeight="1" x14ac:dyDescent="0.2">
      <c r="A88" s="169"/>
      <c r="B88" s="195" t="s">
        <v>21</v>
      </c>
      <c r="C88" s="196">
        <f>SUM(C51:C87)</f>
        <v>4657790</v>
      </c>
      <c r="D88" s="196">
        <f>SUM(D51:D87)</f>
        <v>15830</v>
      </c>
      <c r="E88" s="196">
        <f>SUM(E51:E87)</f>
        <v>0</v>
      </c>
      <c r="F88" s="196">
        <f>SUM(F51:F87)</f>
        <v>392265</v>
      </c>
      <c r="G88" s="196">
        <f>SUM(G51:G87)</f>
        <v>369495</v>
      </c>
      <c r="H88" s="196">
        <f>SUM(H51:H87)</f>
        <v>30200</v>
      </c>
      <c r="I88" s="196">
        <f>SUM(I51:I87)</f>
        <v>3850000</v>
      </c>
      <c r="J88" s="197"/>
      <c r="K88" s="228"/>
      <c r="L88" s="65"/>
      <c r="M88" s="62"/>
    </row>
    <row r="89" spans="1:13" ht="22.5" customHeight="1" x14ac:dyDescent="0.2">
      <c r="A89" s="211" t="s">
        <v>22</v>
      </c>
      <c r="B89" s="211"/>
      <c r="C89" s="175"/>
      <c r="D89" s="175"/>
      <c r="E89" s="175"/>
      <c r="F89" s="175"/>
      <c r="G89" s="175"/>
      <c r="H89" s="175"/>
      <c r="I89" s="176"/>
      <c r="J89" s="178"/>
      <c r="K89" s="230"/>
      <c r="L89" s="62"/>
      <c r="M89" s="62"/>
    </row>
    <row r="90" spans="1:13" ht="24" customHeight="1" x14ac:dyDescent="0.2">
      <c r="A90" s="169">
        <v>76</v>
      </c>
      <c r="B90" s="153" t="s">
        <v>150</v>
      </c>
      <c r="C90" s="193">
        <v>2500</v>
      </c>
      <c r="D90" s="193">
        <v>2500</v>
      </c>
      <c r="E90" s="162"/>
      <c r="F90" s="189"/>
      <c r="G90" s="189"/>
      <c r="H90" s="198"/>
      <c r="I90" s="195"/>
      <c r="J90" s="161" t="s">
        <v>258</v>
      </c>
      <c r="K90" s="229">
        <v>2500</v>
      </c>
      <c r="L90" s="62"/>
      <c r="M90" s="62"/>
    </row>
    <row r="91" spans="1:13" ht="24" customHeight="1" x14ac:dyDescent="0.2">
      <c r="A91" s="169">
        <v>77</v>
      </c>
      <c r="B91" s="153" t="s">
        <v>151</v>
      </c>
      <c r="C91" s="193">
        <v>2500</v>
      </c>
      <c r="D91" s="193">
        <v>2500</v>
      </c>
      <c r="E91" s="162"/>
      <c r="F91" s="189"/>
      <c r="G91" s="189"/>
      <c r="H91" s="198"/>
      <c r="I91" s="195"/>
      <c r="J91" s="161" t="s">
        <v>258</v>
      </c>
      <c r="K91" s="229" t="s">
        <v>275</v>
      </c>
      <c r="L91" s="62"/>
      <c r="M91" s="62"/>
    </row>
    <row r="92" spans="1:13" ht="39.75" customHeight="1" x14ac:dyDescent="0.2">
      <c r="A92" s="169">
        <v>78</v>
      </c>
      <c r="B92" s="153" t="s">
        <v>152</v>
      </c>
      <c r="C92" s="193">
        <v>5000</v>
      </c>
      <c r="D92" s="193">
        <v>5000</v>
      </c>
      <c r="E92" s="162"/>
      <c r="F92" s="189"/>
      <c r="G92" s="189"/>
      <c r="H92" s="198"/>
      <c r="I92" s="195"/>
      <c r="J92" s="161" t="s">
        <v>258</v>
      </c>
      <c r="K92" s="229">
        <v>4898</v>
      </c>
      <c r="L92" s="62"/>
      <c r="M92" s="62"/>
    </row>
    <row r="93" spans="1:13" ht="41.25" customHeight="1" x14ac:dyDescent="0.2">
      <c r="A93" s="169">
        <v>79</v>
      </c>
      <c r="B93" s="153" t="s">
        <v>153</v>
      </c>
      <c r="C93" s="193">
        <v>15000</v>
      </c>
      <c r="D93" s="193">
        <v>15000</v>
      </c>
      <c r="E93" s="162"/>
      <c r="F93" s="189"/>
      <c r="G93" s="189"/>
      <c r="H93" s="198"/>
      <c r="I93" s="195"/>
      <c r="J93" s="161" t="s">
        <v>258</v>
      </c>
      <c r="K93" s="229">
        <v>14415</v>
      </c>
      <c r="L93" s="62"/>
      <c r="M93" s="62"/>
    </row>
    <row r="94" spans="1:13" ht="60.75" customHeight="1" x14ac:dyDescent="0.2">
      <c r="A94" s="169">
        <v>80</v>
      </c>
      <c r="B94" s="199" t="s">
        <v>273</v>
      </c>
      <c r="C94" s="193">
        <v>30000</v>
      </c>
      <c r="D94" s="193">
        <v>10000</v>
      </c>
      <c r="E94" s="162"/>
      <c r="F94" s="189"/>
      <c r="G94" s="189"/>
      <c r="H94" s="210">
        <v>20000</v>
      </c>
      <c r="I94" s="195"/>
      <c r="J94" s="161" t="s">
        <v>258</v>
      </c>
      <c r="K94" s="229">
        <f>20000+8495</f>
        <v>28495</v>
      </c>
      <c r="L94" s="62"/>
      <c r="M94" s="62"/>
    </row>
    <row r="95" spans="1:13" ht="24" customHeight="1" x14ac:dyDescent="0.2">
      <c r="A95" s="169">
        <v>81</v>
      </c>
      <c r="B95" s="153" t="s">
        <v>154</v>
      </c>
      <c r="C95" s="193">
        <v>7000</v>
      </c>
      <c r="D95" s="193">
        <v>7000</v>
      </c>
      <c r="E95" s="162"/>
      <c r="F95" s="189"/>
      <c r="G95" s="189"/>
      <c r="H95" s="198"/>
      <c r="I95" s="195"/>
      <c r="J95" s="161" t="s">
        <v>258</v>
      </c>
      <c r="K95" s="229" t="s">
        <v>275</v>
      </c>
      <c r="L95" s="62"/>
      <c r="M95" s="62"/>
    </row>
    <row r="96" spans="1:13" ht="24" customHeight="1" x14ac:dyDescent="0.2">
      <c r="A96" s="169">
        <v>82</v>
      </c>
      <c r="B96" s="153" t="s">
        <v>155</v>
      </c>
      <c r="C96" s="193">
        <v>25000</v>
      </c>
      <c r="D96" s="193">
        <v>25000</v>
      </c>
      <c r="E96" s="162"/>
      <c r="F96" s="189"/>
      <c r="G96" s="189"/>
      <c r="H96" s="198"/>
      <c r="I96" s="195"/>
      <c r="J96" s="161" t="s">
        <v>258</v>
      </c>
      <c r="K96" s="228"/>
      <c r="L96" s="62"/>
      <c r="M96" s="62"/>
    </row>
    <row r="97" spans="1:13" ht="24" customHeight="1" x14ac:dyDescent="0.2">
      <c r="A97" s="169">
        <v>83</v>
      </c>
      <c r="B97" s="153" t="s">
        <v>156</v>
      </c>
      <c r="C97" s="193">
        <v>3500</v>
      </c>
      <c r="D97" s="193">
        <v>3500</v>
      </c>
      <c r="E97" s="162"/>
      <c r="F97" s="189"/>
      <c r="G97" s="189"/>
      <c r="H97" s="198"/>
      <c r="I97" s="195"/>
      <c r="J97" s="161" t="s">
        <v>258</v>
      </c>
      <c r="K97" s="228"/>
      <c r="L97" s="62"/>
      <c r="M97" s="62"/>
    </row>
    <row r="98" spans="1:13" ht="24" customHeight="1" x14ac:dyDescent="0.2">
      <c r="A98" s="169">
        <v>84</v>
      </c>
      <c r="B98" s="153" t="s">
        <v>157</v>
      </c>
      <c r="C98" s="193">
        <v>2000</v>
      </c>
      <c r="D98" s="193">
        <v>2000</v>
      </c>
      <c r="E98" s="162"/>
      <c r="F98" s="189"/>
      <c r="G98" s="189"/>
      <c r="H98" s="198"/>
      <c r="I98" s="195"/>
      <c r="J98" s="161" t="s">
        <v>258</v>
      </c>
      <c r="K98" s="228"/>
      <c r="L98" s="62"/>
      <c r="M98" s="62"/>
    </row>
    <row r="99" spans="1:13" ht="24" customHeight="1" x14ac:dyDescent="0.2">
      <c r="A99" s="169">
        <v>85</v>
      </c>
      <c r="B99" s="153" t="s">
        <v>158</v>
      </c>
      <c r="C99" s="193">
        <v>10000</v>
      </c>
      <c r="D99" s="193">
        <v>10000</v>
      </c>
      <c r="E99" s="162"/>
      <c r="F99" s="189"/>
      <c r="G99" s="189"/>
      <c r="H99" s="198"/>
      <c r="I99" s="195"/>
      <c r="J99" s="161" t="s">
        <v>258</v>
      </c>
      <c r="K99" s="228"/>
      <c r="L99" s="62"/>
      <c r="M99" s="62"/>
    </row>
    <row r="100" spans="1:13" ht="41.25" customHeight="1" x14ac:dyDescent="0.2">
      <c r="A100" s="169">
        <v>86</v>
      </c>
      <c r="B100" s="153" t="s">
        <v>159</v>
      </c>
      <c r="C100" s="193">
        <v>20000</v>
      </c>
      <c r="D100" s="193">
        <v>20000</v>
      </c>
      <c r="E100" s="162"/>
      <c r="F100" s="189"/>
      <c r="G100" s="189"/>
      <c r="H100" s="198"/>
      <c r="I100" s="195"/>
      <c r="J100" s="161" t="s">
        <v>258</v>
      </c>
      <c r="K100" s="228"/>
      <c r="L100" s="62"/>
      <c r="M100" s="62"/>
    </row>
    <row r="101" spans="1:13" ht="42.75" customHeight="1" x14ac:dyDescent="0.2">
      <c r="A101" s="169">
        <v>87</v>
      </c>
      <c r="B101" s="153" t="s">
        <v>160</v>
      </c>
      <c r="C101" s="193">
        <v>2000</v>
      </c>
      <c r="D101" s="193">
        <v>2000</v>
      </c>
      <c r="E101" s="162"/>
      <c r="F101" s="189"/>
      <c r="G101" s="189"/>
      <c r="H101" s="198"/>
      <c r="I101" s="195"/>
      <c r="J101" s="161" t="s">
        <v>258</v>
      </c>
      <c r="K101" s="228"/>
      <c r="L101" s="62"/>
      <c r="M101" s="62"/>
    </row>
    <row r="102" spans="1:13" ht="24" customHeight="1" x14ac:dyDescent="0.2">
      <c r="A102" s="169">
        <v>88</v>
      </c>
      <c r="B102" s="153" t="s">
        <v>161</v>
      </c>
      <c r="C102" s="193">
        <v>2000</v>
      </c>
      <c r="D102" s="193">
        <v>2000</v>
      </c>
      <c r="E102" s="162"/>
      <c r="F102" s="189"/>
      <c r="G102" s="189"/>
      <c r="H102" s="198"/>
      <c r="I102" s="195"/>
      <c r="J102" s="161" t="s">
        <v>258</v>
      </c>
      <c r="K102" s="228"/>
      <c r="L102" s="62"/>
      <c r="M102" s="62"/>
    </row>
    <row r="103" spans="1:13" ht="24" customHeight="1" x14ac:dyDescent="0.2">
      <c r="A103" s="169">
        <v>89</v>
      </c>
      <c r="B103" s="153" t="s">
        <v>162</v>
      </c>
      <c r="C103" s="193">
        <v>2000</v>
      </c>
      <c r="D103" s="193">
        <v>2000</v>
      </c>
      <c r="E103" s="162"/>
      <c r="F103" s="189"/>
      <c r="G103" s="189"/>
      <c r="H103" s="198"/>
      <c r="I103" s="195"/>
      <c r="J103" s="161" t="s">
        <v>258</v>
      </c>
      <c r="K103" s="228"/>
      <c r="L103" s="62"/>
      <c r="M103" s="62"/>
    </row>
    <row r="104" spans="1:13" ht="24" customHeight="1" x14ac:dyDescent="0.2">
      <c r="A104" s="169">
        <v>90</v>
      </c>
      <c r="B104" s="153" t="s">
        <v>163</v>
      </c>
      <c r="C104" s="193">
        <v>15000</v>
      </c>
      <c r="D104" s="193">
        <v>15000</v>
      </c>
      <c r="E104" s="162"/>
      <c r="F104" s="189"/>
      <c r="G104" s="189"/>
      <c r="H104" s="198"/>
      <c r="I104" s="195"/>
      <c r="J104" s="161" t="s">
        <v>258</v>
      </c>
      <c r="K104" s="228"/>
      <c r="L104" s="62"/>
      <c r="M104" s="62"/>
    </row>
    <row r="105" spans="1:13" ht="24" customHeight="1" x14ac:dyDescent="0.2">
      <c r="A105" s="169">
        <v>91</v>
      </c>
      <c r="B105" s="153" t="s">
        <v>164</v>
      </c>
      <c r="C105" s="193">
        <v>13000</v>
      </c>
      <c r="D105" s="193">
        <v>13000</v>
      </c>
      <c r="E105" s="160"/>
      <c r="F105" s="189"/>
      <c r="G105" s="189"/>
      <c r="H105" s="198"/>
      <c r="I105" s="195"/>
      <c r="J105" s="161" t="s">
        <v>258</v>
      </c>
      <c r="K105" s="228"/>
      <c r="L105" s="62"/>
      <c r="M105" s="62"/>
    </row>
    <row r="106" spans="1:13" ht="39.75" customHeight="1" x14ac:dyDescent="0.2">
      <c r="A106" s="169">
        <v>92</v>
      </c>
      <c r="B106" s="153" t="s">
        <v>165</v>
      </c>
      <c r="C106" s="193">
        <v>1000</v>
      </c>
      <c r="D106" s="193">
        <v>1000</v>
      </c>
      <c r="E106" s="162"/>
      <c r="F106" s="189"/>
      <c r="G106" s="189"/>
      <c r="H106" s="198"/>
      <c r="I106" s="195"/>
      <c r="J106" s="161" t="s">
        <v>258</v>
      </c>
      <c r="K106" s="228"/>
      <c r="L106" s="62"/>
      <c r="M106" s="62"/>
    </row>
    <row r="107" spans="1:13" ht="42" customHeight="1" x14ac:dyDescent="0.2">
      <c r="A107" s="169">
        <v>93</v>
      </c>
      <c r="B107" s="153" t="s">
        <v>166</v>
      </c>
      <c r="C107" s="193">
        <v>2000</v>
      </c>
      <c r="D107" s="193">
        <v>2000</v>
      </c>
      <c r="E107" s="162"/>
      <c r="F107" s="189"/>
      <c r="G107" s="189"/>
      <c r="H107" s="198"/>
      <c r="I107" s="195"/>
      <c r="J107" s="161" t="s">
        <v>258</v>
      </c>
      <c r="K107" s="228"/>
      <c r="L107" s="62"/>
      <c r="M107" s="62"/>
    </row>
    <row r="108" spans="1:13" ht="24" customHeight="1" x14ac:dyDescent="0.2">
      <c r="A108" s="169">
        <v>94</v>
      </c>
      <c r="B108" s="153" t="s">
        <v>167</v>
      </c>
      <c r="C108" s="162">
        <v>10000</v>
      </c>
      <c r="D108" s="162">
        <v>10000</v>
      </c>
      <c r="E108" s="162"/>
      <c r="F108" s="189"/>
      <c r="G108" s="189"/>
      <c r="H108" s="198"/>
      <c r="I108" s="195"/>
      <c r="J108" s="161" t="s">
        <v>258</v>
      </c>
      <c r="K108" s="228"/>
      <c r="L108" s="62"/>
      <c r="M108" s="62"/>
    </row>
    <row r="109" spans="1:13" ht="60.75" customHeight="1" x14ac:dyDescent="0.2">
      <c r="A109" s="169">
        <v>95</v>
      </c>
      <c r="B109" s="153" t="s">
        <v>168</v>
      </c>
      <c r="C109" s="200">
        <v>2000</v>
      </c>
      <c r="D109" s="200">
        <v>2000</v>
      </c>
      <c r="E109" s="201"/>
      <c r="F109" s="189"/>
      <c r="G109" s="189"/>
      <c r="H109" s="198"/>
      <c r="I109" s="195"/>
      <c r="J109" s="161" t="s">
        <v>258</v>
      </c>
      <c r="K109" s="228"/>
      <c r="L109" s="62"/>
      <c r="M109" s="62"/>
    </row>
    <row r="110" spans="1:13" x14ac:dyDescent="0.2">
      <c r="A110" s="169">
        <v>96</v>
      </c>
      <c r="B110" s="149" t="s">
        <v>169</v>
      </c>
      <c r="C110" s="193">
        <v>4000</v>
      </c>
      <c r="D110" s="193">
        <v>4000</v>
      </c>
      <c r="E110" s="162"/>
      <c r="F110" s="189"/>
      <c r="G110" s="189"/>
      <c r="H110" s="198"/>
      <c r="I110" s="195"/>
      <c r="J110" s="161" t="s">
        <v>258</v>
      </c>
      <c r="K110" s="228"/>
      <c r="L110" s="62"/>
      <c r="M110" s="62"/>
    </row>
    <row r="111" spans="1:13" ht="39.75" customHeight="1" x14ac:dyDescent="0.2">
      <c r="A111" s="169">
        <v>97</v>
      </c>
      <c r="B111" s="153" t="s">
        <v>170</v>
      </c>
      <c r="C111" s="193">
        <v>1500</v>
      </c>
      <c r="D111" s="193">
        <v>1500</v>
      </c>
      <c r="E111" s="162"/>
      <c r="F111" s="189"/>
      <c r="G111" s="189"/>
      <c r="H111" s="198"/>
      <c r="I111" s="195"/>
      <c r="J111" s="161" t="s">
        <v>258</v>
      </c>
      <c r="K111" s="228"/>
      <c r="L111" s="62"/>
      <c r="M111" s="62"/>
    </row>
    <row r="112" spans="1:13" ht="39.75" customHeight="1" x14ac:dyDescent="0.2">
      <c r="A112" s="169">
        <v>98</v>
      </c>
      <c r="B112" s="153" t="s">
        <v>171</v>
      </c>
      <c r="C112" s="193">
        <v>3000</v>
      </c>
      <c r="D112" s="193">
        <v>3000</v>
      </c>
      <c r="E112" s="162"/>
      <c r="F112" s="189"/>
      <c r="G112" s="189"/>
      <c r="H112" s="198"/>
      <c r="I112" s="195"/>
      <c r="J112" s="161" t="s">
        <v>258</v>
      </c>
      <c r="K112" s="228"/>
      <c r="L112" s="62"/>
      <c r="M112" s="62"/>
    </row>
    <row r="113" spans="1:13" ht="41.25" customHeight="1" x14ac:dyDescent="0.2">
      <c r="A113" s="169">
        <v>99</v>
      </c>
      <c r="B113" s="153" t="s">
        <v>172</v>
      </c>
      <c r="C113" s="193">
        <v>52000</v>
      </c>
      <c r="D113" s="193">
        <v>52000</v>
      </c>
      <c r="E113" s="162"/>
      <c r="F113" s="189"/>
      <c r="G113" s="189"/>
      <c r="H113" s="198"/>
      <c r="I113" s="195"/>
      <c r="J113" s="161" t="s">
        <v>258</v>
      </c>
      <c r="K113" s="228"/>
      <c r="L113" s="62"/>
      <c r="M113" s="62"/>
    </row>
    <row r="114" spans="1:13" ht="21.75" customHeight="1" x14ac:dyDescent="0.2">
      <c r="A114" s="169">
        <v>100</v>
      </c>
      <c r="B114" s="153" t="s">
        <v>255</v>
      </c>
      <c r="C114" s="193">
        <v>10000</v>
      </c>
      <c r="D114" s="156">
        <v>10000</v>
      </c>
      <c r="E114" s="156"/>
      <c r="F114" s="156"/>
      <c r="G114" s="184"/>
      <c r="H114" s="184"/>
      <c r="I114" s="185"/>
      <c r="J114" s="161" t="s">
        <v>258</v>
      </c>
      <c r="K114" s="228"/>
      <c r="L114" s="62"/>
      <c r="M114" s="62"/>
    </row>
    <row r="115" spans="1:13" ht="21.75" customHeight="1" x14ac:dyDescent="0.2">
      <c r="A115" s="169">
        <v>101</v>
      </c>
      <c r="B115" s="153" t="s">
        <v>193</v>
      </c>
      <c r="C115" s="156">
        <v>9000</v>
      </c>
      <c r="D115" s="156">
        <v>9000</v>
      </c>
      <c r="E115" s="156"/>
      <c r="F115" s="156"/>
      <c r="G115" s="184"/>
      <c r="H115" s="184"/>
      <c r="I115" s="185"/>
      <c r="J115" s="161" t="s">
        <v>258</v>
      </c>
      <c r="K115" s="228"/>
      <c r="L115" s="62"/>
      <c r="M115" s="62"/>
    </row>
    <row r="116" spans="1:13" ht="24" customHeight="1" x14ac:dyDescent="0.2">
      <c r="A116" s="169">
        <v>102</v>
      </c>
      <c r="B116" s="153" t="s">
        <v>173</v>
      </c>
      <c r="C116" s="193">
        <v>500</v>
      </c>
      <c r="D116" s="193">
        <v>500</v>
      </c>
      <c r="E116" s="160"/>
      <c r="F116" s="160"/>
      <c r="G116" s="160"/>
      <c r="H116" s="160"/>
      <c r="I116" s="149"/>
      <c r="J116" s="149" t="s">
        <v>259</v>
      </c>
      <c r="K116" s="228"/>
      <c r="L116" s="62"/>
      <c r="M116" s="62"/>
    </row>
    <row r="117" spans="1:13" ht="26.25" customHeight="1" x14ac:dyDescent="0.2">
      <c r="A117" s="169">
        <v>103</v>
      </c>
      <c r="B117" s="153" t="s">
        <v>174</v>
      </c>
      <c r="C117" s="193">
        <v>0</v>
      </c>
      <c r="D117" s="193">
        <v>0</v>
      </c>
      <c r="E117" s="162"/>
      <c r="F117" s="189"/>
      <c r="G117" s="189"/>
      <c r="H117" s="198"/>
      <c r="I117" s="195"/>
      <c r="J117" s="149" t="s">
        <v>259</v>
      </c>
      <c r="K117" s="228"/>
      <c r="L117" s="62"/>
      <c r="M117" s="62"/>
    </row>
    <row r="118" spans="1:13" ht="24" customHeight="1" x14ac:dyDescent="0.2">
      <c r="A118" s="169">
        <v>104</v>
      </c>
      <c r="B118" s="153" t="s">
        <v>175</v>
      </c>
      <c r="C118" s="193">
        <v>3400</v>
      </c>
      <c r="D118" s="193">
        <v>3400</v>
      </c>
      <c r="E118" s="162"/>
      <c r="F118" s="189"/>
      <c r="G118" s="189"/>
      <c r="H118" s="198"/>
      <c r="I118" s="195"/>
      <c r="J118" s="149" t="s">
        <v>259</v>
      </c>
      <c r="K118" s="228"/>
      <c r="L118" s="62"/>
      <c r="M118" s="62"/>
    </row>
    <row r="119" spans="1:13" ht="24" customHeight="1" x14ac:dyDescent="0.2">
      <c r="A119" s="169">
        <v>105</v>
      </c>
      <c r="B119" s="153" t="s">
        <v>176</v>
      </c>
      <c r="C119" s="193">
        <v>2000</v>
      </c>
      <c r="D119" s="193">
        <v>2000</v>
      </c>
      <c r="E119" s="162"/>
      <c r="F119" s="189"/>
      <c r="G119" s="189"/>
      <c r="H119" s="198"/>
      <c r="I119" s="195"/>
      <c r="J119" s="149" t="s">
        <v>260</v>
      </c>
      <c r="K119" s="228"/>
      <c r="L119" s="62"/>
      <c r="M119" s="62"/>
    </row>
    <row r="120" spans="1:13" ht="24" customHeight="1" x14ac:dyDescent="0.2">
      <c r="A120" s="169">
        <v>106</v>
      </c>
      <c r="B120" s="153" t="s">
        <v>177</v>
      </c>
      <c r="C120" s="193">
        <v>0</v>
      </c>
      <c r="D120" s="193">
        <v>0</v>
      </c>
      <c r="E120" s="162"/>
      <c r="F120" s="189"/>
      <c r="G120" s="189"/>
      <c r="H120" s="198"/>
      <c r="I120" s="195"/>
      <c r="J120" s="149" t="s">
        <v>260</v>
      </c>
      <c r="K120" s="228"/>
      <c r="L120" s="62"/>
      <c r="M120" s="62"/>
    </row>
    <row r="121" spans="1:13" ht="24" customHeight="1" x14ac:dyDescent="0.2">
      <c r="A121" s="169">
        <v>107</v>
      </c>
      <c r="B121" s="153" t="s">
        <v>178</v>
      </c>
      <c r="C121" s="193">
        <v>2000</v>
      </c>
      <c r="D121" s="193">
        <v>2000</v>
      </c>
      <c r="E121" s="162"/>
      <c r="F121" s="189"/>
      <c r="G121" s="189"/>
      <c r="H121" s="198"/>
      <c r="I121" s="195"/>
      <c r="J121" s="149" t="s">
        <v>260</v>
      </c>
      <c r="K121" s="228"/>
      <c r="L121" s="62"/>
      <c r="M121" s="62"/>
    </row>
    <row r="122" spans="1:13" ht="24" customHeight="1" x14ac:dyDescent="0.2">
      <c r="A122" s="169">
        <v>108</v>
      </c>
      <c r="B122" s="153" t="s">
        <v>179</v>
      </c>
      <c r="C122" s="193">
        <v>3000</v>
      </c>
      <c r="D122" s="193">
        <v>3000</v>
      </c>
      <c r="E122" s="162"/>
      <c r="F122" s="189"/>
      <c r="G122" s="189"/>
      <c r="H122" s="198"/>
      <c r="I122" s="195"/>
      <c r="J122" s="149" t="s">
        <v>261</v>
      </c>
      <c r="K122" s="228"/>
      <c r="L122" s="62"/>
      <c r="M122" s="62"/>
    </row>
    <row r="123" spans="1:13" x14ac:dyDescent="0.2">
      <c r="A123" s="169">
        <v>109</v>
      </c>
      <c r="B123" s="153" t="s">
        <v>180</v>
      </c>
      <c r="C123" s="193">
        <v>0</v>
      </c>
      <c r="D123" s="193">
        <v>0</v>
      </c>
      <c r="E123" s="162"/>
      <c r="F123" s="189"/>
      <c r="G123" s="189"/>
      <c r="H123" s="198"/>
      <c r="I123" s="195"/>
      <c r="J123" s="149" t="s">
        <v>261</v>
      </c>
      <c r="K123" s="228"/>
      <c r="L123" s="62"/>
      <c r="M123" s="62"/>
    </row>
    <row r="124" spans="1:13" ht="39" x14ac:dyDescent="0.2">
      <c r="A124" s="169">
        <v>110</v>
      </c>
      <c r="B124" s="153" t="s">
        <v>181</v>
      </c>
      <c r="C124" s="193">
        <v>2800</v>
      </c>
      <c r="D124" s="193">
        <v>2800</v>
      </c>
      <c r="E124" s="162"/>
      <c r="F124" s="189"/>
      <c r="G124" s="189"/>
      <c r="H124" s="198"/>
      <c r="I124" s="195"/>
      <c r="J124" s="149" t="s">
        <v>261</v>
      </c>
      <c r="K124" s="228"/>
      <c r="L124" s="62"/>
      <c r="M124" s="62"/>
    </row>
    <row r="125" spans="1:13" ht="21.75" customHeight="1" x14ac:dyDescent="0.2">
      <c r="A125" s="169">
        <v>111</v>
      </c>
      <c r="B125" s="149" t="s">
        <v>182</v>
      </c>
      <c r="C125" s="193">
        <v>3000</v>
      </c>
      <c r="D125" s="193">
        <v>3000</v>
      </c>
      <c r="E125" s="162"/>
      <c r="F125" s="189"/>
      <c r="G125" s="189"/>
      <c r="H125" s="198"/>
      <c r="I125" s="195"/>
      <c r="J125" s="149" t="s">
        <v>261</v>
      </c>
      <c r="K125" s="228"/>
      <c r="L125" s="62"/>
      <c r="M125" s="62"/>
    </row>
    <row r="126" spans="1:13" ht="44.25" customHeight="1" x14ac:dyDescent="0.2">
      <c r="A126" s="169">
        <v>112</v>
      </c>
      <c r="B126" s="153" t="s">
        <v>262</v>
      </c>
      <c r="C126" s="193">
        <v>1000</v>
      </c>
      <c r="D126" s="193">
        <v>1000</v>
      </c>
      <c r="E126" s="162"/>
      <c r="F126" s="189"/>
      <c r="G126" s="189"/>
      <c r="H126" s="198"/>
      <c r="I126" s="195"/>
      <c r="J126" s="161" t="s">
        <v>263</v>
      </c>
      <c r="K126" s="228"/>
      <c r="L126" s="62"/>
      <c r="M126" s="62"/>
    </row>
    <row r="127" spans="1:13" ht="24" customHeight="1" x14ac:dyDescent="0.2">
      <c r="A127" s="169">
        <v>113</v>
      </c>
      <c r="B127" s="153" t="s">
        <v>183</v>
      </c>
      <c r="C127" s="156">
        <v>9000</v>
      </c>
      <c r="D127" s="156">
        <v>9000</v>
      </c>
      <c r="E127" s="162"/>
      <c r="F127" s="189"/>
      <c r="G127" s="189"/>
      <c r="H127" s="198"/>
      <c r="I127" s="195"/>
      <c r="J127" s="161" t="s">
        <v>263</v>
      </c>
      <c r="K127" s="228"/>
      <c r="L127" s="62"/>
      <c r="M127" s="62"/>
    </row>
    <row r="128" spans="1:13" ht="39.75" customHeight="1" x14ac:dyDescent="0.2">
      <c r="A128" s="169">
        <v>114</v>
      </c>
      <c r="B128" s="153" t="s">
        <v>184</v>
      </c>
      <c r="C128" s="156">
        <v>500</v>
      </c>
      <c r="D128" s="156">
        <v>500</v>
      </c>
      <c r="E128" s="162"/>
      <c r="F128" s="189"/>
      <c r="G128" s="189"/>
      <c r="H128" s="198"/>
      <c r="I128" s="195"/>
      <c r="J128" s="161" t="s">
        <v>263</v>
      </c>
      <c r="K128" s="228"/>
      <c r="L128" s="62"/>
      <c r="M128" s="62"/>
    </row>
    <row r="129" spans="1:13" ht="24" customHeight="1" x14ac:dyDescent="0.2">
      <c r="A129" s="169">
        <v>115</v>
      </c>
      <c r="B129" s="153" t="s">
        <v>185</v>
      </c>
      <c r="C129" s="156">
        <v>5000</v>
      </c>
      <c r="D129" s="156">
        <v>5000</v>
      </c>
      <c r="E129" s="156"/>
      <c r="F129" s="184"/>
      <c r="G129" s="184"/>
      <c r="H129" s="184"/>
      <c r="I129" s="185"/>
      <c r="J129" s="161" t="s">
        <v>263</v>
      </c>
      <c r="K129" s="229">
        <v>5000</v>
      </c>
      <c r="L129" s="62"/>
      <c r="M129" s="62"/>
    </row>
    <row r="130" spans="1:13" x14ac:dyDescent="0.2">
      <c r="A130" s="169">
        <v>116</v>
      </c>
      <c r="B130" s="153" t="s">
        <v>257</v>
      </c>
      <c r="C130" s="156">
        <v>500</v>
      </c>
      <c r="D130" s="156">
        <v>500</v>
      </c>
      <c r="E130" s="156"/>
      <c r="F130" s="184"/>
      <c r="G130" s="184"/>
      <c r="H130" s="184"/>
      <c r="I130" s="185"/>
      <c r="J130" s="161" t="s">
        <v>264</v>
      </c>
      <c r="K130" s="228"/>
      <c r="L130" s="62"/>
      <c r="M130" s="62"/>
    </row>
    <row r="131" spans="1:13" ht="44.25" customHeight="1" x14ac:dyDescent="0.2">
      <c r="A131" s="169">
        <v>117</v>
      </c>
      <c r="B131" s="153" t="s">
        <v>186</v>
      </c>
      <c r="C131" s="156">
        <v>2000</v>
      </c>
      <c r="D131" s="156">
        <v>2000</v>
      </c>
      <c r="E131" s="156"/>
      <c r="F131" s="184"/>
      <c r="G131" s="184"/>
      <c r="H131" s="184"/>
      <c r="I131" s="185"/>
      <c r="J131" s="161" t="s">
        <v>264</v>
      </c>
      <c r="K131" s="228"/>
      <c r="L131" s="62"/>
      <c r="M131" s="62"/>
    </row>
    <row r="132" spans="1:13" ht="24" customHeight="1" x14ac:dyDescent="0.2">
      <c r="A132" s="169">
        <v>118</v>
      </c>
      <c r="B132" s="199" t="s">
        <v>187</v>
      </c>
      <c r="C132" s="156">
        <v>2000</v>
      </c>
      <c r="D132" s="156">
        <v>2000</v>
      </c>
      <c r="E132" s="156"/>
      <c r="F132" s="184"/>
      <c r="G132" s="184"/>
      <c r="H132" s="184"/>
      <c r="I132" s="185"/>
      <c r="J132" s="161" t="s">
        <v>264</v>
      </c>
      <c r="K132" s="228"/>
      <c r="L132" s="62"/>
      <c r="M132" s="62"/>
    </row>
    <row r="133" spans="1:13" ht="24" customHeight="1" x14ac:dyDescent="0.2">
      <c r="A133" s="169">
        <v>119</v>
      </c>
      <c r="B133" s="153" t="s">
        <v>188</v>
      </c>
      <c r="C133" s="156">
        <v>1500</v>
      </c>
      <c r="D133" s="156">
        <v>1500</v>
      </c>
      <c r="E133" s="156"/>
      <c r="F133" s="184"/>
      <c r="G133" s="184"/>
      <c r="H133" s="184"/>
      <c r="I133" s="185"/>
      <c r="J133" s="161" t="s">
        <v>265</v>
      </c>
      <c r="K133" s="228"/>
      <c r="L133" s="62"/>
      <c r="M133" s="62"/>
    </row>
    <row r="134" spans="1:13" ht="24" customHeight="1" x14ac:dyDescent="0.2">
      <c r="A134" s="169">
        <v>120</v>
      </c>
      <c r="B134" s="153" t="s">
        <v>189</v>
      </c>
      <c r="C134" s="156">
        <v>1000</v>
      </c>
      <c r="D134" s="156">
        <v>1000</v>
      </c>
      <c r="E134" s="156"/>
      <c r="F134" s="184"/>
      <c r="G134" s="184"/>
      <c r="H134" s="184"/>
      <c r="I134" s="185"/>
      <c r="J134" s="161" t="s">
        <v>265</v>
      </c>
      <c r="K134" s="229">
        <v>1000</v>
      </c>
      <c r="L134" s="62"/>
      <c r="M134" s="62"/>
    </row>
    <row r="135" spans="1:13" ht="23.25" customHeight="1" x14ac:dyDescent="0.2">
      <c r="A135" s="169">
        <v>121</v>
      </c>
      <c r="B135" s="153" t="s">
        <v>190</v>
      </c>
      <c r="C135" s="156" t="s">
        <v>191</v>
      </c>
      <c r="D135" s="156" t="s">
        <v>191</v>
      </c>
      <c r="E135" s="156"/>
      <c r="F135" s="184"/>
      <c r="G135" s="184"/>
      <c r="H135" s="184"/>
      <c r="I135" s="185"/>
      <c r="J135" s="161" t="s">
        <v>265</v>
      </c>
      <c r="K135" s="228"/>
      <c r="L135" s="62"/>
      <c r="M135" s="62"/>
    </row>
    <row r="136" spans="1:13" ht="22.5" customHeight="1" x14ac:dyDescent="0.2">
      <c r="A136" s="169"/>
      <c r="B136" s="170" t="s">
        <v>270</v>
      </c>
      <c r="C136" s="171">
        <f t="shared" ref="C136:I136" si="3">SUM(C90:C135)</f>
        <v>290200</v>
      </c>
      <c r="D136" s="156">
        <f t="shared" si="3"/>
        <v>270200</v>
      </c>
      <c r="E136" s="156">
        <f t="shared" si="3"/>
        <v>0</v>
      </c>
      <c r="F136" s="156">
        <f t="shared" si="3"/>
        <v>0</v>
      </c>
      <c r="G136" s="156">
        <f t="shared" si="3"/>
        <v>0</v>
      </c>
      <c r="H136" s="156">
        <f t="shared" si="3"/>
        <v>20000</v>
      </c>
      <c r="I136" s="156">
        <f t="shared" si="3"/>
        <v>0</v>
      </c>
      <c r="J136" s="197"/>
      <c r="K136" s="228"/>
      <c r="L136" s="65"/>
      <c r="M136" s="62"/>
    </row>
    <row r="137" spans="1:13" ht="22.5" customHeight="1" x14ac:dyDescent="0.2">
      <c r="A137" s="202"/>
      <c r="B137" s="203" t="s">
        <v>24</v>
      </c>
      <c r="C137" s="204">
        <f>C23+C32+C49+C88+C136</f>
        <v>11119490</v>
      </c>
      <c r="D137" s="194">
        <f>D23+D32+D49+D88+D136</f>
        <v>301030</v>
      </c>
      <c r="E137" s="194">
        <f>E23+E32+E49+E88+E136</f>
        <v>3000000</v>
      </c>
      <c r="F137" s="194">
        <f>F23+F32+F49+F88+F136</f>
        <v>552265</v>
      </c>
      <c r="G137" s="194">
        <f>G23+G32+G49+G88+G136</f>
        <v>3055495</v>
      </c>
      <c r="H137" s="194">
        <f>H23+H32+H49+H88+H136</f>
        <v>325700</v>
      </c>
      <c r="I137" s="194">
        <f>I23+I32+I49+I88+I136</f>
        <v>3850000</v>
      </c>
      <c r="J137" s="194"/>
      <c r="K137" s="232"/>
      <c r="L137" s="65"/>
      <c r="M137" s="62"/>
    </row>
    <row r="138" spans="1:13" ht="22.5" hidden="1" customHeight="1" x14ac:dyDescent="0.2">
      <c r="A138" s="205"/>
      <c r="B138" s="206" t="s">
        <v>25</v>
      </c>
      <c r="C138" s="207"/>
      <c r="D138" s="175"/>
      <c r="E138" s="175"/>
      <c r="F138" s="175"/>
      <c r="G138" s="175"/>
      <c r="H138" s="175"/>
      <c r="I138" s="176"/>
      <c r="J138" s="178"/>
      <c r="K138" s="230"/>
      <c r="L138" s="62"/>
      <c r="M138" s="62"/>
    </row>
    <row r="139" spans="1:13" ht="22.5" hidden="1" customHeight="1" x14ac:dyDescent="0.2">
      <c r="A139" s="9"/>
      <c r="B139" s="12"/>
      <c r="C139" s="126"/>
      <c r="D139" s="10"/>
      <c r="E139" s="10"/>
      <c r="F139" s="10"/>
      <c r="G139" s="10"/>
      <c r="H139" s="127"/>
      <c r="I139" s="15"/>
      <c r="J139" s="1"/>
      <c r="K139" s="233"/>
    </row>
    <row r="140" spans="1:13" ht="22.5" hidden="1" customHeight="1" x14ac:dyDescent="0.2">
      <c r="A140" s="9"/>
      <c r="B140" s="13"/>
      <c r="C140" s="128"/>
      <c r="D140" s="10"/>
      <c r="E140" s="10"/>
      <c r="F140" s="3"/>
      <c r="G140" s="3"/>
      <c r="H140" s="10"/>
      <c r="I140" s="9"/>
      <c r="J140" s="11"/>
      <c r="K140" s="233"/>
    </row>
    <row r="141" spans="1:13" ht="22.5" hidden="1" customHeight="1" x14ac:dyDescent="0.2">
      <c r="A141" s="9"/>
      <c r="B141" s="12"/>
      <c r="C141" s="126"/>
      <c r="D141" s="3"/>
      <c r="E141" s="3"/>
      <c r="F141" s="4"/>
      <c r="G141" s="4"/>
      <c r="H141" s="4"/>
      <c r="I141" s="5"/>
      <c r="J141" s="1"/>
      <c r="K141" s="233"/>
    </row>
    <row r="142" spans="1:13" ht="22.5" hidden="1" customHeight="1" x14ac:dyDescent="0.2">
      <c r="A142" s="9"/>
      <c r="B142" s="12"/>
      <c r="C142" s="126"/>
      <c r="D142" s="3"/>
      <c r="E142" s="3"/>
      <c r="F142" s="4"/>
      <c r="G142" s="4"/>
      <c r="H142" s="4"/>
      <c r="I142" s="5"/>
      <c r="J142" s="11"/>
      <c r="K142" s="233"/>
    </row>
    <row r="143" spans="1:13" ht="22.5" hidden="1" customHeight="1" x14ac:dyDescent="0.2">
      <c r="A143" s="9"/>
      <c r="B143" s="12"/>
      <c r="C143" s="126"/>
      <c r="D143" s="3"/>
      <c r="E143" s="3"/>
      <c r="F143" s="4"/>
      <c r="G143" s="4"/>
      <c r="H143" s="4"/>
      <c r="I143" s="5"/>
      <c r="J143" s="11"/>
      <c r="K143" s="233"/>
    </row>
    <row r="144" spans="1:13" ht="22.5" hidden="1" customHeight="1" x14ac:dyDescent="0.2">
      <c r="A144" s="9"/>
      <c r="B144" s="14" t="s">
        <v>23</v>
      </c>
      <c r="C144" s="129"/>
      <c r="D144" s="3">
        <f>SUM(D139:D143)</f>
        <v>0</v>
      </c>
      <c r="E144" s="3">
        <f t="shared" ref="E144:J144" si="4">SUM(E139:E143)</f>
        <v>0</v>
      </c>
      <c r="F144" s="3">
        <f t="shared" si="4"/>
        <v>0</v>
      </c>
      <c r="G144" s="3">
        <f t="shared" si="4"/>
        <v>0</v>
      </c>
      <c r="H144" s="3">
        <f t="shared" si="4"/>
        <v>0</v>
      </c>
      <c r="I144" s="3">
        <f t="shared" si="4"/>
        <v>0</v>
      </c>
      <c r="J144" s="3">
        <f t="shared" si="4"/>
        <v>0</v>
      </c>
      <c r="K144" s="233"/>
    </row>
    <row r="145" spans="4:9" x14ac:dyDescent="0.2">
      <c r="D145" s="18"/>
      <c r="E145" s="18"/>
      <c r="F145" s="18"/>
      <c r="G145" s="18"/>
      <c r="H145" s="18"/>
      <c r="I145" s="19"/>
    </row>
    <row r="146" spans="4:9" ht="21.75" customHeight="1" x14ac:dyDescent="0.2"/>
    <row r="147" spans="4:9" ht="21.75" customHeight="1" x14ac:dyDescent="0.2"/>
    <row r="148" spans="4:9" ht="21.75" customHeight="1" x14ac:dyDescent="0.2"/>
    <row r="149" spans="4:9" ht="21.75" customHeight="1" x14ac:dyDescent="0.2"/>
    <row r="150" spans="4:9" ht="21.75" customHeight="1" x14ac:dyDescent="0.2"/>
    <row r="151" spans="4:9" ht="21.75" customHeight="1" x14ac:dyDescent="0.2"/>
    <row r="156" spans="4:9" ht="35.25" customHeight="1" x14ac:dyDescent="0.2"/>
  </sheetData>
  <mergeCells count="16">
    <mergeCell ref="A89:B89"/>
    <mergeCell ref="A1:K1"/>
    <mergeCell ref="A2:A3"/>
    <mergeCell ref="B2:B3"/>
    <mergeCell ref="C2:C3"/>
    <mergeCell ref="D2:E2"/>
    <mergeCell ref="F2:F3"/>
    <mergeCell ref="G2:G3"/>
    <mergeCell ref="H2:H3"/>
    <mergeCell ref="I2:I3"/>
    <mergeCell ref="J2:J3"/>
    <mergeCell ref="K2:K3"/>
    <mergeCell ref="A6:B6"/>
    <mergeCell ref="A24:B24"/>
    <mergeCell ref="A33:B33"/>
    <mergeCell ref="A50:B50"/>
  </mergeCells>
  <printOptions horizontalCentered="1"/>
  <pageMargins left="0.15" right="0.15" top="0.35" bottom="0.3" header="0.3" footer="0.3"/>
  <pageSetup paperSize="9" scale="5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EF86-905D-45AB-8931-13440A58D982}">
  <sheetPr>
    <tabColor rgb="FF00B050"/>
  </sheetPr>
  <dimension ref="A1:X59"/>
  <sheetViews>
    <sheetView view="pageLayout" topLeftCell="A16" zoomScale="91" zoomScaleNormal="100" zoomScalePageLayoutView="91" workbookViewId="0">
      <selection activeCell="F6" sqref="F6"/>
    </sheetView>
  </sheetViews>
  <sheetFormatPr defaultColWidth="9.125" defaultRowHeight="20.25" x14ac:dyDescent="0.3"/>
  <cols>
    <col min="1" max="1" width="3.75" style="84" customWidth="1"/>
    <col min="2" max="2" width="16.25" style="66" customWidth="1"/>
    <col min="3" max="4" width="16.25" style="67" customWidth="1"/>
    <col min="5" max="5" width="15.25" style="66" customWidth="1"/>
    <col min="6" max="6" width="14" style="66" customWidth="1"/>
    <col min="7" max="9" width="13" style="66" customWidth="1"/>
    <col min="10" max="10" width="14" style="66" customWidth="1"/>
    <col min="11" max="11" width="3.875" style="66" customWidth="1"/>
    <col min="12" max="16" width="14.125" style="66" customWidth="1"/>
    <col min="17" max="18" width="0.125" style="66" hidden="1" customWidth="1"/>
    <col min="19" max="19" width="9" customWidth="1"/>
    <col min="20" max="16384" width="9.125" style="66"/>
  </cols>
  <sheetData>
    <row r="1" spans="1:20" x14ac:dyDescent="0.3">
      <c r="A1" s="102" t="s">
        <v>203</v>
      </c>
      <c r="S1" s="66"/>
    </row>
    <row r="2" spans="1:20" x14ac:dyDescent="0.3">
      <c r="C2" s="90" t="s">
        <v>230</v>
      </c>
      <c r="D2" s="77">
        <v>0.83609999999999995</v>
      </c>
      <c r="S2" s="66"/>
    </row>
    <row r="3" spans="1:20" ht="24" customHeight="1" x14ac:dyDescent="0.3">
      <c r="A3" s="105" t="s">
        <v>0</v>
      </c>
      <c r="B3" s="75" t="s">
        <v>204</v>
      </c>
      <c r="C3" s="76" t="s">
        <v>231</v>
      </c>
      <c r="D3" s="89" t="s">
        <v>205</v>
      </c>
      <c r="S3" s="66"/>
    </row>
    <row r="4" spans="1:20" ht="20.25" customHeight="1" x14ac:dyDescent="0.3">
      <c r="A4" s="105"/>
      <c r="B4" s="106" t="s">
        <v>2</v>
      </c>
      <c r="C4" s="73" t="s">
        <v>232</v>
      </c>
      <c r="D4" s="67" t="s">
        <v>229</v>
      </c>
      <c r="S4" s="66"/>
    </row>
    <row r="5" spans="1:20" x14ac:dyDescent="0.3">
      <c r="A5" s="69">
        <v>1</v>
      </c>
      <c r="B5" s="70" t="s">
        <v>206</v>
      </c>
      <c r="C5" s="78">
        <v>333700</v>
      </c>
      <c r="D5" s="78">
        <f>C5*$D$2</f>
        <v>279006.57</v>
      </c>
      <c r="E5" s="221">
        <f>D5+D6</f>
        <v>759680.46</v>
      </c>
      <c r="Q5" s="68"/>
      <c r="R5" s="68"/>
      <c r="S5" s="66"/>
      <c r="T5" s="68"/>
    </row>
    <row r="6" spans="1:20" x14ac:dyDescent="0.3">
      <c r="A6" s="69">
        <v>2</v>
      </c>
      <c r="B6" s="70" t="s">
        <v>207</v>
      </c>
      <c r="C6" s="78">
        <v>574900</v>
      </c>
      <c r="D6" s="78">
        <f>C6*$D$2</f>
        <v>480673.88999999996</v>
      </c>
      <c r="E6" s="222"/>
      <c r="Q6" s="68"/>
      <c r="R6" s="68"/>
      <c r="S6" s="66"/>
      <c r="T6" s="68"/>
    </row>
    <row r="7" spans="1:20" x14ac:dyDescent="0.3">
      <c r="A7" s="91">
        <v>3</v>
      </c>
      <c r="B7" s="92" t="s">
        <v>208</v>
      </c>
      <c r="C7" s="78">
        <v>274400</v>
      </c>
      <c r="D7" s="78">
        <f>C7*$D$2</f>
        <v>229425.84</v>
      </c>
      <c r="S7" s="66"/>
      <c r="T7" s="68"/>
    </row>
    <row r="8" spans="1:20" x14ac:dyDescent="0.3">
      <c r="B8" s="71" t="s">
        <v>209</v>
      </c>
      <c r="C8" s="74">
        <f>SUM(C4:C7)</f>
        <v>1183000</v>
      </c>
      <c r="D8" s="74">
        <f>SUM(D4:D7)</f>
        <v>989106.29999999993</v>
      </c>
      <c r="S8" s="66"/>
    </row>
    <row r="9" spans="1:20" x14ac:dyDescent="0.3">
      <c r="C9" s="80"/>
      <c r="D9" s="80"/>
      <c r="E9" s="80"/>
      <c r="S9" s="66"/>
    </row>
    <row r="10" spans="1:20" x14ac:dyDescent="0.3">
      <c r="B10" s="80" t="s">
        <v>227</v>
      </c>
      <c r="C10" s="66"/>
      <c r="D10" s="66"/>
      <c r="F10" s="68"/>
      <c r="G10" s="68"/>
      <c r="H10" s="68"/>
      <c r="I10" s="68"/>
      <c r="S10" s="66"/>
    </row>
    <row r="11" spans="1:20" x14ac:dyDescent="0.3">
      <c r="B11" s="81" t="s">
        <v>225</v>
      </c>
      <c r="C11" s="79" t="s">
        <v>217</v>
      </c>
      <c r="D11" s="88" t="s">
        <v>228</v>
      </c>
      <c r="E11" s="67"/>
      <c r="F11" s="81" t="s">
        <v>226</v>
      </c>
      <c r="G11" s="79" t="s">
        <v>218</v>
      </c>
      <c r="H11" s="79" t="s">
        <v>219</v>
      </c>
      <c r="I11" s="85" t="s">
        <v>224</v>
      </c>
      <c r="J11" s="86" t="s">
        <v>228</v>
      </c>
      <c r="S11" s="66"/>
    </row>
    <row r="12" spans="1:20" x14ac:dyDescent="0.3">
      <c r="B12" s="82">
        <f>D5</f>
        <v>279006.57</v>
      </c>
      <c r="C12" s="78">
        <v>311172</v>
      </c>
      <c r="D12" s="87">
        <f>B12-C12</f>
        <v>-32165.429999999993</v>
      </c>
      <c r="F12" s="83">
        <f>D6</f>
        <v>480673.88999999996</v>
      </c>
      <c r="G12" s="78">
        <v>463953</v>
      </c>
      <c r="H12" s="78">
        <v>185739</v>
      </c>
      <c r="I12" s="78">
        <v>28420</v>
      </c>
      <c r="J12" s="87">
        <f>F12-I12-G12-H12</f>
        <v>-197438.11000000004</v>
      </c>
      <c r="S12" s="66"/>
    </row>
    <row r="13" spans="1:20" x14ac:dyDescent="0.3">
      <c r="B13" s="68"/>
      <c r="E13" s="67"/>
      <c r="F13" s="67"/>
      <c r="S13" s="66"/>
    </row>
    <row r="14" spans="1:20" x14ac:dyDescent="0.3">
      <c r="C14" s="66"/>
      <c r="D14" s="66"/>
      <c r="S14" s="66"/>
    </row>
    <row r="15" spans="1:20" x14ac:dyDescent="0.3">
      <c r="C15" s="66"/>
      <c r="D15" s="66"/>
      <c r="S15" s="66"/>
    </row>
    <row r="16" spans="1:20" x14ac:dyDescent="0.3">
      <c r="C16" s="66"/>
      <c r="D16" s="66"/>
      <c r="S16" s="66"/>
    </row>
    <row r="17" spans="1:19" x14ac:dyDescent="0.3">
      <c r="C17" s="66"/>
      <c r="D17" s="66"/>
      <c r="S17" s="66"/>
    </row>
    <row r="18" spans="1:19" x14ac:dyDescent="0.3">
      <c r="C18" s="66"/>
      <c r="D18" s="66"/>
      <c r="S18" s="66"/>
    </row>
    <row r="19" spans="1:19" x14ac:dyDescent="0.3">
      <c r="C19" s="66"/>
      <c r="D19" s="66"/>
      <c r="S19" s="66"/>
    </row>
    <row r="20" spans="1:19" x14ac:dyDescent="0.3">
      <c r="C20" s="66"/>
      <c r="D20" s="66"/>
      <c r="S20" s="66"/>
    </row>
    <row r="21" spans="1:19" x14ac:dyDescent="0.3">
      <c r="C21" s="66"/>
      <c r="D21" s="66"/>
      <c r="S21" s="66"/>
    </row>
    <row r="22" spans="1:19" x14ac:dyDescent="0.3">
      <c r="C22" s="66"/>
      <c r="E22" s="67"/>
      <c r="S22" s="66"/>
    </row>
    <row r="23" spans="1:19" x14ac:dyDescent="0.3">
      <c r="C23" s="66"/>
      <c r="E23" s="67"/>
      <c r="S23" s="66"/>
    </row>
    <row r="24" spans="1:19" x14ac:dyDescent="0.3">
      <c r="C24" s="66"/>
      <c r="E24" s="67"/>
      <c r="S24" s="66"/>
    </row>
    <row r="25" spans="1:19" x14ac:dyDescent="0.3">
      <c r="C25" s="90" t="s">
        <v>230</v>
      </c>
      <c r="D25" s="77">
        <v>0.83609999999999995</v>
      </c>
      <c r="S25" s="66"/>
    </row>
    <row r="26" spans="1:19" ht="24" customHeight="1" x14ac:dyDescent="0.3">
      <c r="A26" s="105" t="s">
        <v>0</v>
      </c>
      <c r="B26" s="75" t="s">
        <v>204</v>
      </c>
      <c r="C26" s="76" t="s">
        <v>231</v>
      </c>
      <c r="D26" s="89" t="s">
        <v>205</v>
      </c>
      <c r="S26" s="66"/>
    </row>
    <row r="27" spans="1:19" ht="20.25" customHeight="1" x14ac:dyDescent="0.3">
      <c r="A27" s="107"/>
      <c r="B27" s="108" t="s">
        <v>210</v>
      </c>
      <c r="C27" s="73" t="s">
        <v>232</v>
      </c>
      <c r="D27" s="67" t="s">
        <v>229</v>
      </c>
      <c r="S27" s="66"/>
    </row>
    <row r="28" spans="1:19" x14ac:dyDescent="0.3">
      <c r="A28" s="103">
        <v>1</v>
      </c>
      <c r="B28" s="104" t="s">
        <v>211</v>
      </c>
      <c r="C28" s="78">
        <v>845400</v>
      </c>
      <c r="D28" s="78">
        <f>C28*$D$2</f>
        <v>706838.94</v>
      </c>
      <c r="S28" s="66"/>
    </row>
    <row r="29" spans="1:19" x14ac:dyDescent="0.3">
      <c r="A29" s="72"/>
      <c r="B29" s="71" t="s">
        <v>212</v>
      </c>
      <c r="C29" s="74">
        <f>SUM(C28)</f>
        <v>845400</v>
      </c>
      <c r="D29" s="74">
        <f>SUM(D28)</f>
        <v>706838.94</v>
      </c>
      <c r="S29" s="66"/>
    </row>
    <row r="31" spans="1:19" x14ac:dyDescent="0.3">
      <c r="C31" s="94" t="s">
        <v>233</v>
      </c>
      <c r="D31" s="94" t="s">
        <v>234</v>
      </c>
    </row>
    <row r="32" spans="1:19" x14ac:dyDescent="0.3">
      <c r="C32" s="95">
        <v>570711.57999999996</v>
      </c>
      <c r="D32" s="95">
        <v>570711.57999999996</v>
      </c>
    </row>
    <row r="36" spans="1:24" x14ac:dyDescent="0.3">
      <c r="A36" s="112"/>
      <c r="B36" s="113" t="s">
        <v>213</v>
      </c>
      <c r="C36" s="114"/>
      <c r="D36" s="114"/>
    </row>
    <row r="37" spans="1:24" x14ac:dyDescent="0.3">
      <c r="C37" s="115" t="s">
        <v>230</v>
      </c>
      <c r="D37" s="116">
        <v>0.83609999999999995</v>
      </c>
    </row>
    <row r="38" spans="1:24" x14ac:dyDescent="0.3">
      <c r="A38" s="105" t="s">
        <v>0</v>
      </c>
      <c r="B38" s="75" t="s">
        <v>204</v>
      </c>
      <c r="C38" s="117" t="s">
        <v>231</v>
      </c>
      <c r="D38" s="118" t="s">
        <v>205</v>
      </c>
    </row>
    <row r="39" spans="1:24" x14ac:dyDescent="0.3">
      <c r="A39" s="119"/>
      <c r="B39" s="120"/>
      <c r="C39" s="121" t="s">
        <v>232</v>
      </c>
      <c r="D39" s="122" t="s">
        <v>229</v>
      </c>
    </row>
    <row r="40" spans="1:24" ht="46.5" customHeight="1" x14ac:dyDescent="0.3">
      <c r="A40" s="109">
        <v>1</v>
      </c>
      <c r="B40" s="110" t="s">
        <v>235</v>
      </c>
      <c r="C40" s="111">
        <v>3547976</v>
      </c>
      <c r="D40" s="111">
        <f>C40*$D$2</f>
        <v>2966462.7335999999</v>
      </c>
      <c r="E40" s="75"/>
    </row>
    <row r="41" spans="1:24" x14ac:dyDescent="0.3">
      <c r="C41" s="74">
        <f>SUM(C40)</f>
        <v>3547976</v>
      </c>
      <c r="D41" s="97">
        <f>SUM(D40)</f>
        <v>2966462.7335999999</v>
      </c>
    </row>
    <row r="42" spans="1:24" x14ac:dyDescent="0.3">
      <c r="B42" s="100" t="s">
        <v>214</v>
      </c>
      <c r="C42" s="66"/>
      <c r="D42" s="66"/>
    </row>
    <row r="43" spans="1:24" x14ac:dyDescent="0.3">
      <c r="C43" s="66"/>
      <c r="D43" s="66"/>
    </row>
    <row r="45" spans="1:24" x14ac:dyDescent="0.3">
      <c r="B45" s="75" t="s">
        <v>237</v>
      </c>
    </row>
    <row r="46" spans="1:24" x14ac:dyDescent="0.3">
      <c r="B46" s="81" t="s">
        <v>236</v>
      </c>
      <c r="C46" s="96" t="s">
        <v>221</v>
      </c>
      <c r="D46" s="96" t="s">
        <v>222</v>
      </c>
      <c r="E46" s="96" t="s">
        <v>223</v>
      </c>
      <c r="F46" s="98" t="s">
        <v>220</v>
      </c>
    </row>
    <row r="47" spans="1:24" x14ac:dyDescent="0.3">
      <c r="B47" s="82">
        <f>D40</f>
        <v>2966462.7335999999</v>
      </c>
      <c r="C47" s="93">
        <f>250000*12</f>
        <v>3000000</v>
      </c>
      <c r="D47" s="93">
        <f>737600</f>
        <v>737600</v>
      </c>
      <c r="E47" s="93">
        <v>101060</v>
      </c>
      <c r="F47" s="99">
        <f>A47-(SUM(C47:E47))</f>
        <v>-3838660</v>
      </c>
    </row>
    <row r="48" spans="1:24" x14ac:dyDescent="0.3">
      <c r="A48" s="112"/>
      <c r="B48" s="113" t="s">
        <v>242</v>
      </c>
      <c r="C48" s="114"/>
      <c r="D48" s="114"/>
      <c r="F48" s="84"/>
      <c r="H48" s="67"/>
      <c r="I48" s="67"/>
      <c r="S48" s="66"/>
      <c r="X48"/>
    </row>
    <row r="49" spans="1:24" x14ac:dyDescent="0.3">
      <c r="C49" s="115" t="s">
        <v>230</v>
      </c>
      <c r="D49" s="116">
        <v>0.83609999999999995</v>
      </c>
      <c r="F49" s="84"/>
      <c r="H49" s="67"/>
      <c r="I49" s="67"/>
      <c r="S49" s="66"/>
      <c r="X49"/>
    </row>
    <row r="50" spans="1:24" x14ac:dyDescent="0.3">
      <c r="A50" s="105" t="s">
        <v>0</v>
      </c>
      <c r="B50" s="75" t="s">
        <v>204</v>
      </c>
      <c r="C50" s="117" t="s">
        <v>231</v>
      </c>
      <c r="D50" s="118" t="s">
        <v>205</v>
      </c>
      <c r="S50" s="66"/>
      <c r="X50"/>
    </row>
    <row r="51" spans="1:24" ht="40.5" x14ac:dyDescent="0.3">
      <c r="A51" s="119"/>
      <c r="B51" s="125" t="s">
        <v>215</v>
      </c>
      <c r="C51" s="121" t="s">
        <v>232</v>
      </c>
      <c r="D51" s="122" t="s">
        <v>229</v>
      </c>
      <c r="S51" s="66"/>
    </row>
    <row r="52" spans="1:24" ht="40.5" x14ac:dyDescent="0.3">
      <c r="A52" s="123">
        <v>1</v>
      </c>
      <c r="B52" s="124" t="s">
        <v>216</v>
      </c>
      <c r="C52" s="67">
        <v>1600000</v>
      </c>
      <c r="D52" s="111">
        <f>C52*$D$2</f>
        <v>1337760</v>
      </c>
      <c r="S52" s="66"/>
    </row>
    <row r="53" spans="1:24" x14ac:dyDescent="0.3">
      <c r="C53" s="74">
        <f>SUM(C52)</f>
        <v>1600000</v>
      </c>
      <c r="D53" s="74">
        <f>SUM(D52)</f>
        <v>1337760</v>
      </c>
      <c r="S53" s="66"/>
    </row>
    <row r="54" spans="1:24" x14ac:dyDescent="0.3">
      <c r="B54" s="67"/>
      <c r="S54" s="66"/>
    </row>
    <row r="55" spans="1:24" x14ac:dyDescent="0.3">
      <c r="S55" s="66"/>
    </row>
    <row r="56" spans="1:24" x14ac:dyDescent="0.3">
      <c r="A56" s="66"/>
      <c r="B56" s="75" t="s">
        <v>238</v>
      </c>
      <c r="D56" s="66"/>
      <c r="S56" s="66"/>
    </row>
    <row r="57" spans="1:24" x14ac:dyDescent="0.3">
      <c r="A57" s="66"/>
      <c r="B57" s="81" t="s">
        <v>239</v>
      </c>
      <c r="C57" s="101" t="s">
        <v>240</v>
      </c>
      <c r="D57" s="101" t="s">
        <v>241</v>
      </c>
      <c r="S57" s="66"/>
    </row>
    <row r="58" spans="1:24" x14ac:dyDescent="0.3">
      <c r="A58" s="66"/>
      <c r="B58" s="82">
        <f>D52</f>
        <v>1337760</v>
      </c>
      <c r="C58" s="93">
        <f>'โครงการในแผน 2569 (print)'!G5</f>
        <v>3055495</v>
      </c>
      <c r="D58" s="93">
        <f>'โครงการในแผน 2569 (print)'!F5</f>
        <v>552265</v>
      </c>
      <c r="S58" s="66"/>
    </row>
    <row r="59" spans="1:24" x14ac:dyDescent="0.3">
      <c r="A59" s="66"/>
      <c r="C59" s="66"/>
      <c r="D59" s="66"/>
    </row>
  </sheetData>
  <mergeCells count="1">
    <mergeCell ref="E5:E6"/>
  </mergeCells>
  <pageMargins left="0.2" right="0.2" top="0.5" bottom="0.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F328-422C-42F9-AD19-9A2DF8764B5C}">
  <dimension ref="A1:E76"/>
  <sheetViews>
    <sheetView zoomScale="53" workbookViewId="0">
      <selection activeCell="N27" sqref="N27"/>
    </sheetView>
  </sheetViews>
  <sheetFormatPr defaultColWidth="9" defaultRowHeight="21" x14ac:dyDescent="0.35"/>
  <cols>
    <col min="1" max="1" width="5.625" style="25" customWidth="1"/>
    <col min="2" max="2" width="70.375" style="6" customWidth="1"/>
    <col min="3" max="3" width="21.375" style="21" customWidth="1"/>
    <col min="4" max="4" width="19.125" style="6" customWidth="1"/>
    <col min="5" max="5" width="15.375" style="6" customWidth="1"/>
    <col min="6" max="16384" width="9" style="6"/>
  </cols>
  <sheetData>
    <row r="1" spans="1:4" x14ac:dyDescent="0.35">
      <c r="A1" s="223" t="s">
        <v>35</v>
      </c>
      <c r="B1" s="223"/>
      <c r="C1" s="223"/>
    </row>
    <row r="2" spans="1:4" x14ac:dyDescent="0.35">
      <c r="A2" s="7" t="s">
        <v>36</v>
      </c>
      <c r="B2" s="7" t="s">
        <v>38</v>
      </c>
      <c r="C2" s="22" t="s">
        <v>32</v>
      </c>
      <c r="D2" s="24" t="s">
        <v>40</v>
      </c>
    </row>
    <row r="3" spans="1:4" x14ac:dyDescent="0.35">
      <c r="A3" s="24">
        <v>1</v>
      </c>
      <c r="B3" s="26" t="s">
        <v>37</v>
      </c>
      <c r="C3" s="23">
        <v>55000</v>
      </c>
      <c r="D3" s="57" t="s">
        <v>10</v>
      </c>
    </row>
    <row r="4" spans="1:4" ht="21.75" thickBot="1" x14ac:dyDescent="0.4">
      <c r="A4" s="30">
        <v>2</v>
      </c>
      <c r="B4" s="27" t="s">
        <v>39</v>
      </c>
      <c r="C4" s="28">
        <v>15000</v>
      </c>
      <c r="D4" s="58" t="s">
        <v>10</v>
      </c>
    </row>
    <row r="5" spans="1:4" x14ac:dyDescent="0.35">
      <c r="A5" s="33">
        <v>3</v>
      </c>
      <c r="B5" s="34" t="s">
        <v>41</v>
      </c>
      <c r="C5" s="35">
        <v>27000</v>
      </c>
      <c r="D5" s="52" t="s">
        <v>53</v>
      </c>
    </row>
    <row r="6" spans="1:4" ht="21.75" thickBot="1" x14ac:dyDescent="0.4">
      <c r="A6" s="24">
        <v>4</v>
      </c>
      <c r="B6" s="49" t="s">
        <v>125</v>
      </c>
      <c r="C6" s="50">
        <v>23000</v>
      </c>
      <c r="D6" s="59" t="s">
        <v>53</v>
      </c>
    </row>
    <row r="7" spans="1:4" ht="21.75" thickBot="1" x14ac:dyDescent="0.4">
      <c r="A7" s="30">
        <v>5</v>
      </c>
      <c r="B7" s="48" t="s">
        <v>55</v>
      </c>
      <c r="C7" s="35">
        <v>5000</v>
      </c>
      <c r="D7" s="36" t="s">
        <v>54</v>
      </c>
    </row>
    <row r="8" spans="1:4" ht="21.75" thickBot="1" x14ac:dyDescent="0.4">
      <c r="A8" s="33">
        <v>6</v>
      </c>
      <c r="B8" s="37" t="s">
        <v>56</v>
      </c>
      <c r="C8" s="38">
        <v>20000</v>
      </c>
      <c r="D8" s="39" t="s">
        <v>54</v>
      </c>
    </row>
    <row r="9" spans="1:4" x14ac:dyDescent="0.35">
      <c r="A9" s="24">
        <v>7</v>
      </c>
      <c r="B9" s="34" t="s">
        <v>42</v>
      </c>
      <c r="C9" s="35">
        <v>2300</v>
      </c>
      <c r="D9" s="52" t="s">
        <v>47</v>
      </c>
    </row>
    <row r="10" spans="1:4" ht="21.75" thickBot="1" x14ac:dyDescent="0.4">
      <c r="A10" s="30">
        <v>8</v>
      </c>
      <c r="B10" s="8" t="s">
        <v>44</v>
      </c>
      <c r="C10" s="23">
        <v>33200</v>
      </c>
      <c r="D10" s="53" t="s">
        <v>47</v>
      </c>
    </row>
    <row r="11" spans="1:4" x14ac:dyDescent="0.35">
      <c r="A11" s="33">
        <v>9</v>
      </c>
      <c r="B11" s="8" t="s">
        <v>45</v>
      </c>
      <c r="C11" s="23">
        <v>14500</v>
      </c>
      <c r="D11" s="53" t="s">
        <v>47</v>
      </c>
    </row>
    <row r="12" spans="1:4" x14ac:dyDescent="0.35">
      <c r="A12" s="24">
        <v>10</v>
      </c>
      <c r="B12" s="45" t="s">
        <v>43</v>
      </c>
      <c r="C12" s="23">
        <v>3000</v>
      </c>
      <c r="D12" s="53" t="s">
        <v>47</v>
      </c>
    </row>
    <row r="13" spans="1:4" ht="21.75" thickBot="1" x14ac:dyDescent="0.4">
      <c r="A13" s="30">
        <v>11</v>
      </c>
      <c r="B13" s="47" t="s">
        <v>46</v>
      </c>
      <c r="C13" s="38">
        <v>2500</v>
      </c>
      <c r="D13" s="54" t="s">
        <v>47</v>
      </c>
    </row>
    <row r="14" spans="1:4" x14ac:dyDescent="0.35">
      <c r="A14" s="33">
        <v>12</v>
      </c>
      <c r="B14" s="31" t="s">
        <v>48</v>
      </c>
      <c r="C14" s="32" t="s">
        <v>52</v>
      </c>
      <c r="D14" s="55" t="s">
        <v>51</v>
      </c>
    </row>
    <row r="15" spans="1:4" x14ac:dyDescent="0.35">
      <c r="A15" s="24">
        <v>13</v>
      </c>
      <c r="B15" s="8" t="s">
        <v>49</v>
      </c>
      <c r="C15" s="23" t="s">
        <v>52</v>
      </c>
      <c r="D15" s="57" t="s">
        <v>51</v>
      </c>
    </row>
    <row r="16" spans="1:4" ht="42.75" thickBot="1" x14ac:dyDescent="0.4">
      <c r="A16" s="30">
        <v>14</v>
      </c>
      <c r="B16" s="20" t="s">
        <v>50</v>
      </c>
      <c r="C16" s="23">
        <v>100000</v>
      </c>
      <c r="D16" s="57" t="s">
        <v>51</v>
      </c>
    </row>
    <row r="17" spans="1:4" x14ac:dyDescent="0.35">
      <c r="A17" s="33">
        <v>15</v>
      </c>
      <c r="B17" s="8" t="s">
        <v>57</v>
      </c>
      <c r="C17" s="23">
        <v>10000</v>
      </c>
      <c r="D17" s="57" t="s">
        <v>136</v>
      </c>
    </row>
    <row r="18" spans="1:4" x14ac:dyDescent="0.35">
      <c r="A18" s="24">
        <v>16</v>
      </c>
      <c r="B18" s="8" t="s">
        <v>58</v>
      </c>
      <c r="C18" s="23">
        <v>2000</v>
      </c>
      <c r="D18" s="57" t="s">
        <v>69</v>
      </c>
    </row>
    <row r="19" spans="1:4" ht="21.75" thickBot="1" x14ac:dyDescent="0.4">
      <c r="A19" s="30">
        <v>17</v>
      </c>
      <c r="B19" s="8" t="s">
        <v>59</v>
      </c>
      <c r="C19" s="23">
        <v>2000</v>
      </c>
      <c r="D19" s="57" t="s">
        <v>69</v>
      </c>
    </row>
    <row r="20" spans="1:4" x14ac:dyDescent="0.35">
      <c r="A20" s="33">
        <v>18</v>
      </c>
      <c r="B20" s="8" t="s">
        <v>60</v>
      </c>
      <c r="C20" s="23">
        <v>20000</v>
      </c>
      <c r="D20" s="57" t="s">
        <v>69</v>
      </c>
    </row>
    <row r="21" spans="1:4" x14ac:dyDescent="0.35">
      <c r="A21" s="24">
        <v>19</v>
      </c>
      <c r="B21" s="8" t="s">
        <v>61</v>
      </c>
      <c r="C21" s="23">
        <v>2000</v>
      </c>
      <c r="D21" s="57" t="s">
        <v>69</v>
      </c>
    </row>
    <row r="22" spans="1:4" ht="21.75" thickBot="1" x14ac:dyDescent="0.4">
      <c r="A22" s="30">
        <v>20</v>
      </c>
      <c r="B22" s="8" t="s">
        <v>62</v>
      </c>
      <c r="C22" s="23">
        <v>8000</v>
      </c>
      <c r="D22" s="57" t="s">
        <v>69</v>
      </c>
    </row>
    <row r="23" spans="1:4" x14ac:dyDescent="0.35">
      <c r="A23" s="33">
        <v>21</v>
      </c>
      <c r="B23" s="8" t="s">
        <v>63</v>
      </c>
      <c r="C23" s="23">
        <v>8000</v>
      </c>
      <c r="D23" s="57" t="s">
        <v>68</v>
      </c>
    </row>
    <row r="24" spans="1:4" x14ac:dyDescent="0.35">
      <c r="A24" s="24">
        <v>22</v>
      </c>
      <c r="B24" s="8" t="s">
        <v>64</v>
      </c>
      <c r="C24" s="23">
        <v>5000</v>
      </c>
      <c r="D24" s="57" t="s">
        <v>68</v>
      </c>
    </row>
    <row r="25" spans="1:4" ht="21.75" thickBot="1" x14ac:dyDescent="0.4">
      <c r="A25" s="30">
        <v>23</v>
      </c>
      <c r="B25" s="8" t="s">
        <v>65</v>
      </c>
      <c r="C25" s="23">
        <v>13580</v>
      </c>
      <c r="D25" s="57" t="s">
        <v>66</v>
      </c>
    </row>
    <row r="26" spans="1:4" x14ac:dyDescent="0.35">
      <c r="A26" s="33">
        <v>24</v>
      </c>
      <c r="B26" s="8" t="s">
        <v>104</v>
      </c>
      <c r="C26" s="23">
        <v>2100</v>
      </c>
      <c r="D26" s="57" t="s">
        <v>86</v>
      </c>
    </row>
    <row r="27" spans="1:4" ht="42" x14ac:dyDescent="0.35">
      <c r="A27" s="24">
        <v>25</v>
      </c>
      <c r="B27" s="20" t="s">
        <v>70</v>
      </c>
      <c r="C27" s="23">
        <v>9100</v>
      </c>
      <c r="D27" s="57" t="s">
        <v>86</v>
      </c>
    </row>
    <row r="28" spans="1:4" ht="42.75" thickBot="1" x14ac:dyDescent="0.4">
      <c r="A28" s="30">
        <v>26</v>
      </c>
      <c r="B28" s="20" t="s">
        <v>71</v>
      </c>
      <c r="C28" s="23">
        <v>9695</v>
      </c>
      <c r="D28" s="57" t="s">
        <v>86</v>
      </c>
    </row>
    <row r="29" spans="1:4" ht="63" x14ac:dyDescent="0.35">
      <c r="A29" s="33">
        <v>27</v>
      </c>
      <c r="B29" s="20" t="s">
        <v>72</v>
      </c>
      <c r="C29" s="23">
        <v>20200</v>
      </c>
      <c r="D29" s="57" t="s">
        <v>86</v>
      </c>
    </row>
    <row r="30" spans="1:4" x14ac:dyDescent="0.35">
      <c r="A30" s="24">
        <v>28</v>
      </c>
      <c r="B30" s="8" t="s">
        <v>73</v>
      </c>
      <c r="C30" s="23">
        <v>100000</v>
      </c>
      <c r="D30" s="57" t="s">
        <v>12</v>
      </c>
    </row>
    <row r="31" spans="1:4" ht="21.75" thickBot="1" x14ac:dyDescent="0.4">
      <c r="A31" s="30">
        <v>29</v>
      </c>
      <c r="B31" s="8" t="s">
        <v>74</v>
      </c>
      <c r="C31" s="23">
        <v>14000</v>
      </c>
      <c r="D31" s="57" t="s">
        <v>87</v>
      </c>
    </row>
    <row r="32" spans="1:4" ht="42" x14ac:dyDescent="0.35">
      <c r="A32" s="33">
        <v>30</v>
      </c>
      <c r="B32" s="20" t="s">
        <v>75</v>
      </c>
      <c r="C32" s="23">
        <v>2500</v>
      </c>
      <c r="D32" s="57" t="s">
        <v>87</v>
      </c>
    </row>
    <row r="33" spans="1:4" x14ac:dyDescent="0.35">
      <c r="A33" s="24">
        <v>31</v>
      </c>
      <c r="B33" s="29" t="s">
        <v>110</v>
      </c>
      <c r="C33" s="28">
        <v>5000</v>
      </c>
      <c r="D33" s="57" t="s">
        <v>87</v>
      </c>
    </row>
    <row r="34" spans="1:4" ht="21.75" thickBot="1" x14ac:dyDescent="0.4">
      <c r="A34" s="30">
        <v>32</v>
      </c>
      <c r="B34" s="27" t="s">
        <v>76</v>
      </c>
      <c r="C34" s="28">
        <v>25000</v>
      </c>
      <c r="D34" s="58" t="s">
        <v>88</v>
      </c>
    </row>
    <row r="35" spans="1:4" x14ac:dyDescent="0.35">
      <c r="A35" s="33">
        <v>33</v>
      </c>
      <c r="B35" s="8" t="s">
        <v>77</v>
      </c>
      <c r="C35" s="23">
        <v>61000</v>
      </c>
      <c r="D35" s="58" t="s">
        <v>88</v>
      </c>
    </row>
    <row r="36" spans="1:4" x14ac:dyDescent="0.35">
      <c r="A36" s="24">
        <v>34</v>
      </c>
      <c r="B36" s="8" t="s">
        <v>78</v>
      </c>
      <c r="C36" s="23">
        <v>30000</v>
      </c>
      <c r="D36" s="58" t="s">
        <v>88</v>
      </c>
    </row>
    <row r="37" spans="1:4" ht="21.75" thickBot="1" x14ac:dyDescent="0.4">
      <c r="A37" s="30">
        <v>35</v>
      </c>
      <c r="B37" s="8" t="s">
        <v>79</v>
      </c>
      <c r="C37" s="23">
        <v>5165</v>
      </c>
      <c r="D37" s="57" t="s">
        <v>89</v>
      </c>
    </row>
    <row r="38" spans="1:4" x14ac:dyDescent="0.35">
      <c r="A38" s="33">
        <v>36</v>
      </c>
      <c r="B38" s="8" t="s">
        <v>80</v>
      </c>
      <c r="C38" s="23">
        <v>10000</v>
      </c>
      <c r="D38" s="57" t="s">
        <v>89</v>
      </c>
    </row>
    <row r="39" spans="1:4" x14ac:dyDescent="0.35">
      <c r="A39" s="24">
        <v>37</v>
      </c>
      <c r="B39" s="8" t="s">
        <v>81</v>
      </c>
      <c r="C39" s="23">
        <v>15000</v>
      </c>
      <c r="D39" s="57" t="s">
        <v>90</v>
      </c>
    </row>
    <row r="40" spans="1:4" ht="21.75" thickBot="1" x14ac:dyDescent="0.4">
      <c r="A40" s="30">
        <v>38</v>
      </c>
      <c r="B40" s="8" t="s">
        <v>82</v>
      </c>
      <c r="C40" s="23">
        <v>105000</v>
      </c>
      <c r="D40" s="57" t="s">
        <v>90</v>
      </c>
    </row>
    <row r="41" spans="1:4" x14ac:dyDescent="0.35">
      <c r="A41" s="33">
        <v>39</v>
      </c>
      <c r="B41" s="8" t="s">
        <v>83</v>
      </c>
      <c r="C41" s="23">
        <v>175000</v>
      </c>
      <c r="D41" s="57" t="s">
        <v>90</v>
      </c>
    </row>
    <row r="42" spans="1:4" x14ac:dyDescent="0.35">
      <c r="A42" s="24">
        <v>40</v>
      </c>
      <c r="B42" s="8" t="s">
        <v>84</v>
      </c>
      <c r="C42" s="23">
        <v>13400</v>
      </c>
      <c r="D42" s="57" t="s">
        <v>91</v>
      </c>
    </row>
    <row r="43" spans="1:4" ht="21.75" thickBot="1" x14ac:dyDescent="0.4">
      <c r="A43" s="30">
        <v>41</v>
      </c>
      <c r="B43" s="8" t="s">
        <v>85</v>
      </c>
      <c r="C43" s="23" t="s">
        <v>52</v>
      </c>
      <c r="D43" s="57" t="s">
        <v>91</v>
      </c>
    </row>
    <row r="44" spans="1:4" x14ac:dyDescent="0.35">
      <c r="A44" s="33">
        <v>42</v>
      </c>
      <c r="B44" s="8" t="s">
        <v>92</v>
      </c>
      <c r="C44" s="23">
        <v>10000</v>
      </c>
      <c r="D44" s="57" t="s">
        <v>67</v>
      </c>
    </row>
    <row r="45" spans="1:4" x14ac:dyDescent="0.35">
      <c r="A45" s="24">
        <v>43</v>
      </c>
      <c r="B45" s="8" t="s">
        <v>93</v>
      </c>
      <c r="C45" s="23">
        <v>13000</v>
      </c>
      <c r="D45" s="57" t="s">
        <v>67</v>
      </c>
    </row>
    <row r="46" spans="1:4" ht="42.75" thickBot="1" x14ac:dyDescent="0.4">
      <c r="A46" s="30">
        <v>44</v>
      </c>
      <c r="B46" s="20" t="s">
        <v>94</v>
      </c>
      <c r="C46" s="23">
        <v>5650</v>
      </c>
      <c r="D46" s="57" t="s">
        <v>99</v>
      </c>
    </row>
    <row r="47" spans="1:4" x14ac:dyDescent="0.35">
      <c r="A47" s="33">
        <v>45</v>
      </c>
      <c r="B47" s="8" t="s">
        <v>95</v>
      </c>
      <c r="C47" s="23">
        <v>2000</v>
      </c>
      <c r="D47" s="57" t="s">
        <v>99</v>
      </c>
    </row>
    <row r="48" spans="1:4" x14ac:dyDescent="0.35">
      <c r="A48" s="24">
        <v>46</v>
      </c>
      <c r="B48" s="8" t="s">
        <v>96</v>
      </c>
      <c r="C48" s="23">
        <v>250000</v>
      </c>
      <c r="D48" s="57" t="s">
        <v>99</v>
      </c>
    </row>
    <row r="49" spans="1:5" ht="21.75" thickBot="1" x14ac:dyDescent="0.4">
      <c r="A49" s="30">
        <v>47</v>
      </c>
      <c r="B49" s="8" t="s">
        <v>97</v>
      </c>
      <c r="C49" s="23">
        <v>32000</v>
      </c>
      <c r="D49" s="57" t="s">
        <v>99</v>
      </c>
    </row>
    <row r="50" spans="1:5" ht="42.75" thickBot="1" x14ac:dyDescent="0.4">
      <c r="A50" s="33">
        <v>48</v>
      </c>
      <c r="B50" s="29" t="s">
        <v>98</v>
      </c>
      <c r="C50" s="28">
        <v>42000</v>
      </c>
      <c r="D50" s="58" t="s">
        <v>99</v>
      </c>
    </row>
    <row r="51" spans="1:5" x14ac:dyDescent="0.35">
      <c r="A51" s="24">
        <v>49</v>
      </c>
      <c r="B51" s="34" t="s">
        <v>100</v>
      </c>
      <c r="C51" s="35">
        <v>30000</v>
      </c>
      <c r="D51" s="52" t="s">
        <v>20</v>
      </c>
    </row>
    <row r="52" spans="1:5" ht="21.75" thickBot="1" x14ac:dyDescent="0.4">
      <c r="A52" s="30">
        <v>50</v>
      </c>
      <c r="B52" s="8" t="s">
        <v>101</v>
      </c>
      <c r="C52" s="23">
        <v>5000</v>
      </c>
      <c r="D52" s="53" t="s">
        <v>20</v>
      </c>
    </row>
    <row r="53" spans="1:5" x14ac:dyDescent="0.35">
      <c r="A53" s="33">
        <v>51</v>
      </c>
      <c r="B53" s="8" t="s">
        <v>102</v>
      </c>
      <c r="C53" s="23">
        <v>65000</v>
      </c>
      <c r="D53" s="53" t="s">
        <v>20</v>
      </c>
    </row>
    <row r="54" spans="1:5" ht="21.75" thickBot="1" x14ac:dyDescent="0.4">
      <c r="A54" s="24">
        <v>52</v>
      </c>
      <c r="B54" s="47" t="s">
        <v>103</v>
      </c>
      <c r="C54" s="38">
        <v>6500</v>
      </c>
      <c r="D54" s="54" t="s">
        <v>20</v>
      </c>
    </row>
    <row r="55" spans="1:5" ht="21.75" thickBot="1" x14ac:dyDescent="0.4">
      <c r="A55" s="30">
        <v>53</v>
      </c>
      <c r="B55" s="34" t="s">
        <v>105</v>
      </c>
      <c r="C55" s="35">
        <v>50000</v>
      </c>
      <c r="D55" s="52" t="s">
        <v>107</v>
      </c>
    </row>
    <row r="56" spans="1:5" ht="21.75" thickBot="1" x14ac:dyDescent="0.4">
      <c r="A56" s="33">
        <v>54</v>
      </c>
      <c r="B56" s="47" t="s">
        <v>106</v>
      </c>
      <c r="C56" s="38">
        <v>850</v>
      </c>
      <c r="D56" s="54" t="s">
        <v>107</v>
      </c>
    </row>
    <row r="57" spans="1:5" ht="21.75" thickBot="1" x14ac:dyDescent="0.4">
      <c r="A57" s="24">
        <v>55</v>
      </c>
      <c r="B57" s="40" t="s">
        <v>108</v>
      </c>
      <c r="C57" s="43">
        <v>200000</v>
      </c>
      <c r="D57" s="56" t="s">
        <v>109</v>
      </c>
    </row>
    <row r="58" spans="1:5" ht="21.75" thickBot="1" x14ac:dyDescent="0.4">
      <c r="A58" s="30">
        <v>56</v>
      </c>
      <c r="B58" s="34" t="s">
        <v>28</v>
      </c>
      <c r="C58" s="35">
        <v>400000</v>
      </c>
      <c r="D58" s="52" t="s">
        <v>115</v>
      </c>
      <c r="E58" s="51"/>
    </row>
    <row r="59" spans="1:5" x14ac:dyDescent="0.35">
      <c r="A59" s="33">
        <v>57</v>
      </c>
      <c r="B59" s="8" t="s">
        <v>111</v>
      </c>
      <c r="C59" s="23">
        <v>300000</v>
      </c>
      <c r="D59" s="53" t="s">
        <v>115</v>
      </c>
    </row>
    <row r="60" spans="1:5" x14ac:dyDescent="0.35">
      <c r="A60" s="24">
        <v>58</v>
      </c>
      <c r="B60" s="8" t="s">
        <v>112</v>
      </c>
      <c r="C60" s="23">
        <v>100000</v>
      </c>
      <c r="D60" s="53" t="s">
        <v>115</v>
      </c>
    </row>
    <row r="61" spans="1:5" ht="21.75" thickBot="1" x14ac:dyDescent="0.4">
      <c r="A61" s="30">
        <v>59</v>
      </c>
      <c r="B61" s="8" t="s">
        <v>113</v>
      </c>
      <c r="C61" s="23">
        <v>400000</v>
      </c>
      <c r="D61" s="53" t="s">
        <v>115</v>
      </c>
    </row>
    <row r="62" spans="1:5" x14ac:dyDescent="0.35">
      <c r="A62" s="33">
        <v>60</v>
      </c>
      <c r="B62" s="27" t="s">
        <v>126</v>
      </c>
      <c r="C62" s="28">
        <v>156000</v>
      </c>
      <c r="D62" s="53" t="s">
        <v>115</v>
      </c>
    </row>
    <row r="63" spans="1:5" x14ac:dyDescent="0.35">
      <c r="A63" s="24">
        <v>61</v>
      </c>
      <c r="B63" s="27" t="s">
        <v>27</v>
      </c>
      <c r="C63" s="28">
        <v>80000</v>
      </c>
      <c r="D63" s="53" t="s">
        <v>115</v>
      </c>
    </row>
    <row r="64" spans="1:5" ht="21.75" thickBot="1" x14ac:dyDescent="0.4">
      <c r="A64" s="30">
        <v>62</v>
      </c>
      <c r="B64" s="37" t="s">
        <v>114</v>
      </c>
      <c r="C64" s="38">
        <v>500000</v>
      </c>
      <c r="D64" s="54" t="s">
        <v>115</v>
      </c>
    </row>
    <row r="65" spans="1:4" x14ac:dyDescent="0.35">
      <c r="A65" s="33">
        <v>63</v>
      </c>
      <c r="B65" s="31" t="s">
        <v>116</v>
      </c>
      <c r="C65" s="32">
        <v>50000</v>
      </c>
      <c r="D65" s="55" t="s">
        <v>11</v>
      </c>
    </row>
    <row r="66" spans="1:4" ht="21.75" thickBot="1" x14ac:dyDescent="0.4">
      <c r="A66" s="24">
        <v>64</v>
      </c>
      <c r="B66" s="27" t="s">
        <v>117</v>
      </c>
      <c r="C66" s="28">
        <v>50000</v>
      </c>
      <c r="D66" s="56" t="s">
        <v>11</v>
      </c>
    </row>
    <row r="67" spans="1:4" ht="21.75" thickBot="1" x14ac:dyDescent="0.4">
      <c r="A67" s="30">
        <v>65</v>
      </c>
      <c r="B67" s="44" t="s">
        <v>119</v>
      </c>
      <c r="C67" s="35">
        <v>3980</v>
      </c>
      <c r="D67" s="52" t="s">
        <v>29</v>
      </c>
    </row>
    <row r="68" spans="1:4" x14ac:dyDescent="0.35">
      <c r="A68" s="33">
        <v>66</v>
      </c>
      <c r="B68" s="45" t="s">
        <v>120</v>
      </c>
      <c r="C68" s="23">
        <v>3000</v>
      </c>
      <c r="D68" s="41" t="s">
        <v>29</v>
      </c>
    </row>
    <row r="69" spans="1:4" ht="21.75" thickBot="1" x14ac:dyDescent="0.4">
      <c r="A69" s="24">
        <v>67</v>
      </c>
      <c r="B69" s="37" t="s">
        <v>121</v>
      </c>
      <c r="C69" s="38">
        <v>50000</v>
      </c>
      <c r="D69" s="42" t="s">
        <v>29</v>
      </c>
    </row>
    <row r="70" spans="1:4" ht="21.75" thickBot="1" x14ac:dyDescent="0.4">
      <c r="A70" s="30">
        <v>68</v>
      </c>
      <c r="B70" s="46" t="s">
        <v>118</v>
      </c>
      <c r="C70" s="32">
        <v>3050</v>
      </c>
      <c r="D70" s="31" t="s">
        <v>30</v>
      </c>
    </row>
    <row r="71" spans="1:4" x14ac:dyDescent="0.35">
      <c r="A71" s="33">
        <v>69</v>
      </c>
      <c r="B71" s="8"/>
      <c r="C71" s="23"/>
      <c r="D71" s="8"/>
    </row>
    <row r="72" spans="1:4" x14ac:dyDescent="0.35">
      <c r="A72" s="24">
        <v>70</v>
      </c>
      <c r="B72" s="8"/>
      <c r="C72" s="23"/>
      <c r="D72" s="8"/>
    </row>
    <row r="73" spans="1:4" ht="21.75" thickBot="1" x14ac:dyDescent="0.4">
      <c r="A73" s="30">
        <v>71</v>
      </c>
      <c r="B73" s="8"/>
      <c r="C73" s="23"/>
      <c r="D73" s="8"/>
    </row>
    <row r="74" spans="1:4" x14ac:dyDescent="0.35">
      <c r="A74" s="33">
        <v>72</v>
      </c>
      <c r="B74" s="8"/>
      <c r="C74" s="23"/>
      <c r="D74" s="8"/>
    </row>
    <row r="75" spans="1:4" x14ac:dyDescent="0.35">
      <c r="A75" s="24">
        <v>73</v>
      </c>
      <c r="B75" s="8"/>
      <c r="C75" s="23"/>
      <c r="D75" s="8"/>
    </row>
    <row r="76" spans="1:4" x14ac:dyDescent="0.35">
      <c r="C76" s="21">
        <f>SUM(C3:C75)</f>
        <v>3781270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โครงการในแผน 2569 (print)</vt:lpstr>
      <vt:lpstr>กราฟ งบดำเนินงาน (69)</vt:lpstr>
      <vt:lpstr>Sheet2</vt:lpstr>
      <vt:lpstr>'โครงการในแผน 2569 (print)'!_Hlk10098556</vt:lpstr>
      <vt:lpstr>'โครงการในแผน 2569 (print)'!Print_Area</vt:lpstr>
      <vt:lpstr>'โครงการในแผน 2569 (print)'!Print_Titles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4300</dc:creator>
  <cp:keywords/>
  <dc:description/>
  <cp:lastModifiedBy>ThinkCentre</cp:lastModifiedBy>
  <cp:revision/>
  <cp:lastPrinted>2025-12-02T04:00:12Z</cp:lastPrinted>
  <dcterms:created xsi:type="dcterms:W3CDTF">2017-09-08T07:01:01Z</dcterms:created>
  <dcterms:modified xsi:type="dcterms:W3CDTF">2025-12-02T04:37:58Z</dcterms:modified>
  <cp:category/>
  <cp:contentStatus/>
</cp:coreProperties>
</file>