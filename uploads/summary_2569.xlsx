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0.xml" ContentType="application/vnd.ms-excel.person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งานเอกสารจากเครื่องเดิม HP\2.สรุปค่าใช้จ่ายประจำปี\"/>
    </mc:Choice>
  </mc:AlternateContent>
  <xr:revisionPtr revIDLastSave="0" documentId="13_ncr:1_{845898DD-0C3C-4BA8-B96C-D1A9F2FE194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คชจ.ล่าสุด" sheetId="4" r:id="rId1"/>
    <sheet name="งบบำรุงการศึกษา" sheetId="45" r:id="rId2"/>
    <sheet name="งบลงทุน" sheetId="56" r:id="rId3"/>
    <sheet name="ค่าตอบแทนพนักงานราชการ" sheetId="35" r:id="rId4"/>
    <sheet name="ประกันสังคม พรก." sheetId="37" r:id="rId5"/>
    <sheet name="งบดำเนินงาน ปวช." sheetId="42" r:id="rId6"/>
    <sheet name="งบดำเนินงาน ปวส." sheetId="40" r:id="rId7"/>
    <sheet name="ปวส.-ค่าน้ำมัน" sheetId="49" r:id="rId8"/>
    <sheet name="ปวส.-ไปราชการ" sheetId="41" r:id="rId9"/>
    <sheet name="งบดำเนินงาน ระยะสั้น" sheetId="44" r:id="rId10"/>
    <sheet name="ค่าสาธารณูปโภค" sheetId="43" r:id="rId11"/>
    <sheet name="งบอุดหนุนจัดการเรียนการสอน 68" sheetId="38" r:id="rId12"/>
    <sheet name="อุดหนุนจัดการเรียนการสอน 2569" sheetId="53" r:id="rId13"/>
    <sheet name="กิจกรรมพัฒนาผู้เรียน 68" sheetId="39" r:id="rId14"/>
    <sheet name="กิจกรรมพัฒนาผู้เรียน 2569" sheetId="52" r:id="rId15"/>
    <sheet name="ค่าหนังสือเรียน" sheetId="51" r:id="rId16"/>
    <sheet name="ค่าอุปกรณ์การเรียน" sheetId="50" r:id="rId17"/>
    <sheet name="ค่าเครื่องแบบนักเรียน" sheetId="55" r:id="rId18"/>
    <sheet name="ค่าอุปกรณ์นักเรียนสายอาชีพ" sheetId="57" r:id="rId19"/>
    <sheet name="โครงการเร่งประสิทธิภาพการสอนครู" sheetId="46" r:id="rId20"/>
    <sheet name="โครงการจัดหาบุคลากรสนับสนุน" sheetId="47" r:id="rId21"/>
    <sheet name="โครงการศูนย์บ่มเพาะ" sheetId="54" r:id="rId22"/>
    <sheet name="โครงการพิเศษ" sheetId="58" r:id="rId23"/>
  </sheets>
  <definedNames>
    <definedName name="_xlnm.Print_Titles" localSheetId="5">'งบดำเนินงาน ปวช.'!$2:$2</definedName>
    <definedName name="_xlnm.Print_Titles" localSheetId="8">'ปวส.-ไปราชการ'!$2:$2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4" l="1"/>
  <c r="I54" i="4"/>
  <c r="I53" i="4"/>
  <c r="F5" i="43"/>
  <c r="F6" i="43"/>
  <c r="F7" i="43"/>
  <c r="F8" i="43"/>
  <c r="F9" i="43" s="1"/>
  <c r="F10" i="43" s="1"/>
  <c r="F11" i="43" s="1"/>
  <c r="F12" i="43" s="1"/>
  <c r="F13" i="43" s="1"/>
  <c r="F14" i="43" s="1"/>
  <c r="F15" i="43" s="1"/>
  <c r="F16" i="43" s="1"/>
  <c r="F17" i="43" s="1"/>
  <c r="F18" i="43" s="1"/>
  <c r="F19" i="43" s="1"/>
  <c r="F20" i="43" s="1"/>
  <c r="F21" i="43" s="1"/>
  <c r="F22" i="43" s="1"/>
  <c r="F23" i="43" s="1"/>
  <c r="F24" i="43" s="1"/>
  <c r="F25" i="43" s="1"/>
  <c r="F26" i="43" s="1"/>
  <c r="F27" i="43" s="1"/>
  <c r="F28" i="43" s="1"/>
  <c r="F29" i="43" s="1"/>
  <c r="F30" i="43" s="1"/>
  <c r="F31" i="43" s="1"/>
  <c r="F32" i="43" s="1"/>
  <c r="F33" i="43" s="1"/>
  <c r="F34" i="43" s="1"/>
  <c r="F35" i="43" s="1"/>
  <c r="F36" i="43" s="1"/>
  <c r="F37" i="43" s="1"/>
  <c r="F38" i="43" s="1"/>
  <c r="F39" i="43" s="1"/>
  <c r="F40" i="43" s="1"/>
  <c r="F41" i="43" s="1"/>
  <c r="F42" i="43" s="1"/>
  <c r="F43" i="43" s="1"/>
  <c r="F44" i="43" s="1"/>
  <c r="F45" i="43" s="1"/>
  <c r="F46" i="43" s="1"/>
  <c r="F47" i="43" s="1"/>
  <c r="F48" i="43" s="1"/>
  <c r="F49" i="43" s="1"/>
  <c r="F50" i="43" s="1"/>
  <c r="F51" i="43" s="1"/>
  <c r="F52" i="43" s="1"/>
  <c r="F4" i="43"/>
  <c r="D26" i="4"/>
  <c r="D34" i="4" s="1"/>
  <c r="K41" i="4"/>
  <c r="D15" i="4"/>
  <c r="E15" i="4"/>
  <c r="F15" i="4"/>
  <c r="G15" i="4"/>
  <c r="J15" i="4"/>
  <c r="C15" i="4"/>
  <c r="C21" i="4"/>
  <c r="E34" i="4"/>
  <c r="F34" i="4"/>
  <c r="G34" i="4"/>
  <c r="C34" i="4"/>
  <c r="E15" i="51"/>
  <c r="D15" i="51"/>
  <c r="F15" i="51" s="1"/>
  <c r="H14" i="4"/>
  <c r="I14" i="4" s="1"/>
  <c r="J34" i="4" l="1"/>
  <c r="F3" i="41"/>
  <c r="F4" i="41" s="1"/>
  <c r="F5" i="41" s="1"/>
  <c r="F6" i="41" s="1"/>
  <c r="F7" i="41" s="1"/>
  <c r="F8" i="41" s="1"/>
  <c r="F9" i="41" s="1"/>
  <c r="F10" i="41" s="1"/>
  <c r="F11" i="41" s="1"/>
  <c r="F12" i="41" s="1"/>
  <c r="F13" i="41" s="1"/>
  <c r="F14" i="41" s="1"/>
  <c r="F15" i="41" s="1"/>
  <c r="F16" i="41" s="1"/>
  <c r="F17" i="41" s="1"/>
  <c r="F18" i="41" s="1"/>
  <c r="F19" i="41" s="1"/>
  <c r="F20" i="41" s="1"/>
  <c r="F21" i="41" s="1"/>
  <c r="F22" i="41" s="1"/>
  <c r="F23" i="41" s="1"/>
  <c r="F24" i="41" s="1"/>
  <c r="F25" i="41" s="1"/>
  <c r="F26" i="41" s="1"/>
  <c r="F27" i="41" s="1"/>
  <c r="F28" i="41" s="1"/>
  <c r="F29" i="41" s="1"/>
  <c r="F30" i="41" s="1"/>
  <c r="F31" i="41" s="1"/>
  <c r="F32" i="41" s="1"/>
  <c r="F33" i="41" s="1"/>
  <c r="F34" i="41" s="1"/>
  <c r="F35" i="41" s="1"/>
  <c r="F36" i="41" s="1"/>
  <c r="F37" i="41" s="1"/>
  <c r="F38" i="41" s="1"/>
  <c r="F39" i="41" s="1"/>
  <c r="F40" i="41" s="1"/>
  <c r="F41" i="41" s="1"/>
  <c r="F42" i="41" s="1"/>
  <c r="F43" i="41" s="1"/>
  <c r="F44" i="41" s="1"/>
  <c r="F45" i="41" s="1"/>
  <c r="F46" i="41" s="1"/>
  <c r="F47" i="41" s="1"/>
  <c r="F48" i="41" s="1"/>
  <c r="F49" i="41" s="1"/>
  <c r="F50" i="41" s="1"/>
  <c r="F51" i="41" s="1"/>
  <c r="F52" i="41" s="1"/>
  <c r="F53" i="41" s="1"/>
  <c r="F54" i="41" s="1"/>
  <c r="F55" i="41" s="1"/>
  <c r="F56" i="41" s="1"/>
  <c r="F57" i="41" s="1"/>
  <c r="F58" i="41" s="1"/>
  <c r="F59" i="41" s="1"/>
  <c r="F60" i="41" s="1"/>
  <c r="F61" i="41" s="1"/>
  <c r="F62" i="41" s="1"/>
  <c r="F63" i="41" s="1"/>
  <c r="F64" i="41" s="1"/>
  <c r="F65" i="41" s="1"/>
  <c r="F66" i="41" s="1"/>
  <c r="F67" i="41" s="1"/>
  <c r="F68" i="41" s="1"/>
  <c r="F69" i="41" s="1"/>
  <c r="F70" i="41" s="1"/>
  <c r="F71" i="41" s="1"/>
  <c r="F72" i="41" s="1"/>
  <c r="F73" i="41" s="1"/>
  <c r="F74" i="41" s="1"/>
  <c r="F75" i="41" s="1"/>
  <c r="F76" i="41" s="1"/>
  <c r="F77" i="41" s="1"/>
  <c r="F78" i="41" s="1"/>
  <c r="F79" i="41" s="1"/>
  <c r="F80" i="41" s="1"/>
  <c r="F81" i="41" s="1"/>
  <c r="F82" i="41" s="1"/>
  <c r="F83" i="41" s="1"/>
  <c r="F84" i="41" s="1"/>
  <c r="F85" i="41" s="1"/>
  <c r="F86" i="41" s="1"/>
  <c r="F87" i="41" s="1"/>
  <c r="F88" i="41" s="1"/>
  <c r="F89" i="41" s="1"/>
  <c r="F90" i="41" s="1"/>
  <c r="F91" i="41" s="1"/>
  <c r="F92" i="41" s="1"/>
  <c r="F93" i="41" s="1"/>
  <c r="F94" i="41" s="1"/>
  <c r="F95" i="41" s="1"/>
  <c r="F96" i="41" s="1"/>
  <c r="F97" i="41" s="1"/>
  <c r="F98" i="41" s="1"/>
  <c r="F99" i="41" s="1"/>
  <c r="F100" i="41" s="1"/>
  <c r="F101" i="41" s="1"/>
  <c r="F102" i="41" s="1"/>
  <c r="F103" i="41" s="1"/>
  <c r="F104" i="41" s="1"/>
  <c r="F105" i="41" s="1"/>
  <c r="F106" i="41" s="1"/>
  <c r="F107" i="41" s="1"/>
  <c r="F108" i="41" s="1"/>
  <c r="F109" i="41" s="1"/>
  <c r="F110" i="41" s="1"/>
  <c r="F111" i="41" s="1"/>
  <c r="F112" i="41" s="1"/>
  <c r="F113" i="41" s="1"/>
  <c r="F114" i="41" s="1"/>
  <c r="F115" i="41" s="1"/>
  <c r="F116" i="41" s="1"/>
  <c r="F117" i="41" s="1"/>
  <c r="F118" i="41" s="1"/>
  <c r="F119" i="41" s="1"/>
  <c r="F120" i="41" s="1"/>
  <c r="F121" i="41" s="1"/>
  <c r="F122" i="41" s="1"/>
  <c r="F123" i="41" s="1"/>
  <c r="F124" i="41" s="1"/>
  <c r="F125" i="41" s="1"/>
  <c r="F126" i="41" s="1"/>
  <c r="F127" i="41" s="1"/>
  <c r="F128" i="41" s="1"/>
  <c r="F129" i="41" s="1"/>
  <c r="F130" i="41" s="1"/>
  <c r="F131" i="41" s="1"/>
  <c r="F132" i="41" s="1"/>
  <c r="E153" i="41"/>
  <c r="G3" i="40"/>
  <c r="G4" i="40" s="1"/>
  <c r="G5" i="40" s="1"/>
  <c r="G6" i="40" s="1"/>
  <c r="G7" i="40" s="1"/>
  <c r="G8" i="40" s="1"/>
  <c r="G9" i="40" s="1"/>
  <c r="G10" i="40" s="1"/>
  <c r="G11" i="40" s="1"/>
  <c r="G12" i="40" s="1"/>
  <c r="G13" i="40" s="1"/>
  <c r="G14" i="40" s="1"/>
  <c r="G15" i="40" s="1"/>
  <c r="G16" i="40" s="1"/>
  <c r="G17" i="40" s="1"/>
  <c r="G18" i="40" s="1"/>
  <c r="G19" i="40" s="1"/>
  <c r="G20" i="40" s="1"/>
  <c r="G21" i="40" s="1"/>
  <c r="G22" i="40" s="1"/>
  <c r="G23" i="40" s="1"/>
  <c r="G24" i="40" s="1"/>
  <c r="G25" i="40" s="1"/>
  <c r="G26" i="40" s="1"/>
  <c r="G27" i="40" s="1"/>
  <c r="G28" i="40" s="1"/>
  <c r="G29" i="40" s="1"/>
  <c r="G30" i="40" s="1"/>
  <c r="G31" i="40" s="1"/>
  <c r="G32" i="40" s="1"/>
  <c r="G33" i="40" s="1"/>
  <c r="G34" i="40" s="1"/>
  <c r="G35" i="40" s="1"/>
  <c r="F3" i="51"/>
  <c r="F4" i="51" s="1"/>
  <c r="F5" i="51" s="1"/>
  <c r="F6" i="51" s="1"/>
  <c r="F7" i="51" s="1"/>
  <c r="F8" i="51" s="1"/>
  <c r="F9" i="51" s="1"/>
  <c r="F10" i="51" s="1"/>
  <c r="F11" i="51" s="1"/>
  <c r="D51" i="4"/>
  <c r="E51" i="4"/>
  <c r="F51" i="4"/>
  <c r="G51" i="4"/>
  <c r="J51" i="4"/>
  <c r="C51" i="4"/>
  <c r="G4" i="44"/>
  <c r="G5" i="44" s="1"/>
  <c r="G6" i="44" s="1"/>
  <c r="G7" i="44" s="1"/>
  <c r="G8" i="44" s="1"/>
  <c r="G9" i="44" s="1"/>
  <c r="G10" i="44" s="1"/>
  <c r="G11" i="44" s="1"/>
  <c r="G12" i="44" s="1"/>
  <c r="G13" i="44" s="1"/>
  <c r="G14" i="44" s="1"/>
  <c r="G15" i="44" s="1"/>
  <c r="G16" i="44" s="1"/>
  <c r="G17" i="44" s="1"/>
  <c r="E21" i="4"/>
  <c r="F21" i="4"/>
  <c r="G21" i="4"/>
  <c r="J21" i="4"/>
  <c r="D21" i="4"/>
  <c r="E18" i="4"/>
  <c r="F18" i="4"/>
  <c r="G18" i="4"/>
  <c r="J18" i="4"/>
  <c r="D18" i="4"/>
  <c r="E8" i="4"/>
  <c r="F8" i="4"/>
  <c r="G8" i="4"/>
  <c r="J8" i="4"/>
  <c r="G3" i="42"/>
  <c r="G4" i="42" s="1"/>
  <c r="G5" i="42" s="1"/>
  <c r="G6" i="42" s="1"/>
  <c r="G7" i="42" s="1"/>
  <c r="G8" i="42" s="1"/>
  <c r="G9" i="42" s="1"/>
  <c r="G10" i="42" s="1"/>
  <c r="G11" i="42" s="1"/>
  <c r="G12" i="42" s="1"/>
  <c r="G13" i="42" s="1"/>
  <c r="G14" i="42" s="1"/>
  <c r="G15" i="42" s="1"/>
  <c r="G16" i="42" s="1"/>
  <c r="G17" i="42" s="1"/>
  <c r="G18" i="42" s="1"/>
  <c r="G19" i="42" s="1"/>
  <c r="G20" i="42" s="1"/>
  <c r="G21" i="42" s="1"/>
  <c r="G22" i="42" s="1"/>
  <c r="G23" i="42" s="1"/>
  <c r="G24" i="42" s="1"/>
  <c r="G25" i="42" s="1"/>
  <c r="F3" i="37"/>
  <c r="F4" i="37" s="1"/>
  <c r="F5" i="37" s="1"/>
  <c r="F6" i="37" s="1"/>
  <c r="F7" i="37" s="1"/>
  <c r="F8" i="37" s="1"/>
  <c r="F9" i="37" s="1"/>
  <c r="F10" i="37" s="1"/>
  <c r="F11" i="37" s="1"/>
  <c r="F12" i="37" s="1"/>
  <c r="F13" i="37" s="1"/>
  <c r="F14" i="37" s="1"/>
  <c r="F15" i="37" s="1"/>
  <c r="F16" i="37" s="1"/>
  <c r="F17" i="37" s="1"/>
  <c r="F11" i="35"/>
  <c r="F12" i="35" s="1"/>
  <c r="F13" i="35" s="1"/>
  <c r="F14" i="35" s="1"/>
  <c r="F15" i="35" s="1"/>
  <c r="F16" i="35" s="1"/>
  <c r="F17" i="35" s="1"/>
  <c r="F18" i="35" s="1"/>
  <c r="F7" i="35"/>
  <c r="F8" i="35" s="1"/>
  <c r="F9" i="35" s="1"/>
  <c r="F10" i="35" s="1"/>
  <c r="H30" i="4"/>
  <c r="I30" i="4" s="1"/>
  <c r="H31" i="4"/>
  <c r="I31" i="4" s="1"/>
  <c r="H32" i="4"/>
  <c r="I32" i="4" s="1"/>
  <c r="H20" i="4"/>
  <c r="I20" i="4" s="1"/>
  <c r="G18" i="44" l="1"/>
  <c r="G19" i="44" s="1"/>
  <c r="E16" i="58"/>
  <c r="E8" i="57"/>
  <c r="F8" i="57" s="1"/>
  <c r="D8" i="57"/>
  <c r="E16" i="56"/>
  <c r="D16" i="56"/>
  <c r="F16" i="56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3" i="4"/>
  <c r="I33" i="4" s="1"/>
  <c r="E19" i="35" l="1"/>
  <c r="D19" i="35"/>
  <c r="E8" i="55"/>
  <c r="D8" i="55"/>
  <c r="F8" i="55" s="1"/>
  <c r="E10" i="50"/>
  <c r="D10" i="50"/>
  <c r="F10" i="50" s="1"/>
  <c r="E16" i="46"/>
  <c r="D16" i="46"/>
  <c r="F16" i="46" s="1"/>
  <c r="E16" i="47"/>
  <c r="D16" i="47"/>
  <c r="F16" i="47" s="1"/>
  <c r="H50" i="4"/>
  <c r="I50" i="4" s="1"/>
  <c r="H49" i="4"/>
  <c r="I49" i="4" s="1"/>
  <c r="H13" i="4"/>
  <c r="H48" i="4"/>
  <c r="H47" i="4"/>
  <c r="I47" i="4" s="1"/>
  <c r="H45" i="4"/>
  <c r="I45" i="4" s="1"/>
  <c r="D39" i="40"/>
  <c r="E16" i="54"/>
  <c r="I13" i="4" l="1"/>
  <c r="I48" i="4"/>
  <c r="F19" i="35"/>
  <c r="E69" i="53"/>
  <c r="D69" i="53"/>
  <c r="D98" i="52"/>
  <c r="F98" i="52"/>
  <c r="E12" i="49"/>
  <c r="D12" i="49"/>
  <c r="F190" i="45"/>
  <c r="E190" i="45"/>
  <c r="D190" i="45"/>
  <c r="F23" i="44"/>
  <c r="E23" i="44"/>
  <c r="D23" i="44"/>
  <c r="E53" i="43"/>
  <c r="D53" i="43"/>
  <c r="E35" i="42"/>
  <c r="F35" i="42"/>
  <c r="D35" i="42"/>
  <c r="D153" i="41"/>
  <c r="E16" i="38"/>
  <c r="D16" i="38"/>
  <c r="F16" i="38" s="1"/>
  <c r="D30" i="39"/>
  <c r="F30" i="39"/>
  <c r="H17" i="4" l="1"/>
  <c r="H18" i="4" s="1"/>
  <c r="D8" i="4" l="1"/>
  <c r="I21" i="4" l="1"/>
  <c r="H21" i="4"/>
  <c r="J2" i="4" l="1"/>
  <c r="H38" i="4" l="1"/>
  <c r="H39" i="4"/>
  <c r="I39" i="4" s="1"/>
  <c r="H40" i="4"/>
  <c r="I40" i="4" s="1"/>
  <c r="H41" i="4"/>
  <c r="H42" i="4"/>
  <c r="I42" i="4" s="1"/>
  <c r="H43" i="4"/>
  <c r="I43" i="4" s="1"/>
  <c r="H44" i="4"/>
  <c r="I44" i="4" s="1"/>
  <c r="H46" i="4"/>
  <c r="I46" i="4" s="1"/>
  <c r="I41" i="4" l="1"/>
  <c r="H51" i="4"/>
  <c r="I38" i="4"/>
  <c r="C18" i="4"/>
  <c r="C8" i="4"/>
  <c r="C55" i="4" l="1"/>
  <c r="I51" i="4"/>
  <c r="E55" i="4"/>
  <c r="F55" i="4"/>
  <c r="G55" i="4"/>
  <c r="D55" i="4"/>
  <c r="J55" i="4"/>
  <c r="H23" i="4" l="1"/>
  <c r="H34" i="4" s="1"/>
  <c r="I23" i="4" l="1"/>
  <c r="I34" i="4" s="1"/>
  <c r="H10" i="4" l="1"/>
  <c r="H11" i="4"/>
  <c r="I11" i="4" s="1"/>
  <c r="H12" i="4"/>
  <c r="I12" i="4" s="1"/>
  <c r="H15" i="4" l="1"/>
  <c r="I10" i="4"/>
  <c r="I15" i="4" s="1"/>
  <c r="H6" i="4" l="1"/>
  <c r="H7" i="4" l="1"/>
  <c r="H8" i="4" s="1"/>
  <c r="H55" i="4" l="1"/>
  <c r="I17" i="4" l="1"/>
  <c r="I18" i="4" s="1"/>
  <c r="I6" i="4"/>
  <c r="I7" i="4"/>
  <c r="I8" i="4" l="1"/>
  <c r="I55" i="4"/>
</calcChain>
</file>

<file path=xl/sharedStrings.xml><?xml version="1.0" encoding="utf-8"?>
<sst xmlns="http://schemas.openxmlformats.org/spreadsheetml/2006/main" count="357" uniqueCount="139">
  <si>
    <t>ที่</t>
  </si>
  <si>
    <t>ยอดคงเหลือ</t>
  </si>
  <si>
    <t>ค่าใช้จ่าย</t>
  </si>
  <si>
    <t>(สะสม)</t>
  </si>
  <si>
    <t>คงเหลือสุทธิ</t>
  </si>
  <si>
    <t>หมายเหตุ</t>
  </si>
  <si>
    <t>รวมงบดำเนินงาน</t>
  </si>
  <si>
    <t>รวมค่าสาธารณูปโภค</t>
  </si>
  <si>
    <t>ค่าอุปกรณ์การเรียน</t>
  </si>
  <si>
    <t>ค่าเครื่องแบบนักเรียน</t>
  </si>
  <si>
    <t>รวมงบอุดหนุนทั่วไปเรียนฟรี  15 ปี</t>
  </si>
  <si>
    <t>รวม</t>
  </si>
  <si>
    <t xml:space="preserve">       งบประมาณใช้หมดแล้ว</t>
  </si>
  <si>
    <t xml:space="preserve"> กำลังดำเนินการเบิกจ่ายงบประมาณ</t>
  </si>
  <si>
    <t>ยังไม่ดำเนินการเบิกจ่ายงบประมาณ</t>
  </si>
  <si>
    <t>หมวดเงินที่ได้รับจัดสรร/โครงการ</t>
  </si>
  <si>
    <t>รวมเงินโอนจัดสรร ทั้งสิ้น</t>
  </si>
  <si>
    <t xml:space="preserve">                                                               งานวางแผนและงบประมาณ ฝ่ายแผนงานและความร่วมมือ วิทยาลัยการอาชีพแม่สะเรียง                                                                                   </t>
  </si>
  <si>
    <t xml:space="preserve">   </t>
  </si>
  <si>
    <t>รวมงบบุคลากร</t>
  </si>
  <si>
    <t>-</t>
  </si>
  <si>
    <t>งบร่ายจ่ายอื่น</t>
  </si>
  <si>
    <t>งบลงทุน</t>
  </si>
  <si>
    <t>งบดำเนินงาน ปวช.</t>
  </si>
  <si>
    <t>งบดำเนินงาน ปวส.</t>
  </si>
  <si>
    <t>งบดำเนินงาน ระยะสั้น</t>
  </si>
  <si>
    <t>รวมงบลงทุน</t>
  </si>
  <si>
    <t>ได้รับจัดสรร</t>
  </si>
  <si>
    <t>รวมงบรายจ่ายอื่น</t>
  </si>
  <si>
    <t>งบบำรุงการศึกษา</t>
  </si>
  <si>
    <t>งบบุคลากร ค่าตอบแทนพนักงานราชการ</t>
  </si>
  <si>
    <t>วันที่</t>
  </si>
  <si>
    <t>รายการ</t>
  </si>
  <si>
    <t>ยอดใช้ไป</t>
  </si>
  <si>
    <t>คงเหลือ</t>
  </si>
  <si>
    <t>เลขที่ชุดเบิก</t>
  </si>
  <si>
    <t>ยอดรับ/โอน</t>
  </si>
  <si>
    <t>งบดำเนินงาน ค่าประกันสังคมพนักงานราชการ</t>
  </si>
  <si>
    <t>งบดำเนินงาน ปวส.-ไปราชการ</t>
  </si>
  <si>
    <t>ผู้รับผิดชอบโครงการ</t>
  </si>
  <si>
    <t>ยอดรวมทั้งสิ้น</t>
  </si>
  <si>
    <t>ยอดที่จัดสรร</t>
  </si>
  <si>
    <t>ยอดใช้จริง</t>
  </si>
  <si>
    <t>ผู้รับผิดชอบ</t>
  </si>
  <si>
    <t>งบบำรุงการศึกษา (บกศ.)</t>
  </si>
  <si>
    <t>โครงการเร่งประสิทธิภาพการสอนครูอาชีวศึกษา</t>
  </si>
  <si>
    <t>โครงการจัดหาบุคลากรสนับสนุนเพื่อคืนครูให้นักเรียน</t>
  </si>
  <si>
    <t>งบดำเนินงาน ปวส.- ค่าน้ำมันเชื้อเพลิง</t>
  </si>
  <si>
    <t>ค่าหนังสือเรียน</t>
  </si>
  <si>
    <t>งบอุดหนุน กิจกรรมพัฒนาผู้เรียน ปีงบประมาณ 2567</t>
  </si>
  <si>
    <t>โครงการพัฒนาศักยภาพผู้เรียนอาชีวศึกษาในการเป็นผู้ประกอบการ</t>
  </si>
  <si>
    <t>งบบุคลากร</t>
  </si>
  <si>
    <t>งบดำเนินงาน</t>
  </si>
  <si>
    <t>งบอุดหนุน</t>
  </si>
  <si>
    <t>งานโครงการพิเศษ</t>
  </si>
  <si>
    <t>ค่าอุปกรณ์การเรียนของนักเรียนสายอาชีพ</t>
  </si>
  <si>
    <t>ค่าตอบแทนพนักงานราชการ</t>
  </si>
  <si>
    <t>ประกันสังคมพนักงานราชการ</t>
  </si>
  <si>
    <t>งบดำเนินงาน ระยะสั้น.</t>
  </si>
  <si>
    <t>ค่าสาธารณูปโภค</t>
  </si>
  <si>
    <t>งบเงินอุดหนุนค่าใช้จ่ายในการจัดการเรียนการศึกษาขั้นพื้นฐาน(ค่าจัดการเรียนการสอน) 2568</t>
  </si>
  <si>
    <t>งบอุดหนุนกิจกรรมพัฒนาผู้เรียน 2568</t>
  </si>
  <si>
    <t>บกศ.</t>
  </si>
  <si>
    <t>ค่าหนังสือ</t>
  </si>
  <si>
    <t>ค่าอุปกรณ์การเรียนของนักเรียนสายอาชีพ อาชีวศึกษา</t>
  </si>
  <si>
    <t>งบอุดหนุนโครงการอาชีวะอยู่ประจำ เรียนฟรี มีอาชีพ (รายหัวเด็ก)</t>
  </si>
  <si>
    <t xml:space="preserve">เงินอุดหนุนทุนการศึกษาเฉลิมราชกุมารี </t>
  </si>
  <si>
    <t>โครงการสร้างองค์ความรู้ทางการอาชีวศึกษาเพื่อถ่ายทอดเทคโนโลยีฯ</t>
  </si>
  <si>
    <t>โครงการบูรณาการการพัฒนาทักษะทางวิชาชีพกับการเสริมสร้างคุณลักษณะอันพึงประสงค์ของผู้เรียนอาชีวศึกษา (Fix it - จิตอาสา)</t>
  </si>
  <si>
    <t>โครงการขยายและยกระดับการจัดการอาชีวศึกษาทวิภาคีคุณภาพสูง</t>
  </si>
  <si>
    <t>กิจกรรมอาชีวะ-ขนส่ง อาสาช่วยประชาชน เทศกาลสงกรานต์ 2568 (งบ สอศ.)</t>
  </si>
  <si>
    <t>กิจกรรมอาชีวะ-ขนส่ง อาสาช่วยประชาชน เทศกาลสงกรานต์ 2568 (งบ กปถ.)</t>
  </si>
  <si>
    <t>โครงการจัดซื้อวัสดุ/อุปกรณ์ ซ่อมแซมงานอาคารสถานที่</t>
  </si>
  <si>
    <t>โครงการพัฒนาสมรรถนะครูอาชีวศึกษาสู่มาตรฐานอาชีพโดยการฝึกประสบการณ์ในสถานประกอบการ</t>
  </si>
  <si>
    <t>โครงการอาชีวะต้านยาเสพติด</t>
  </si>
  <si>
    <t>โครงการพัฒนาและยกระดับการติดตามผู้สำเร็จการศึกษาอาชีวศึกษาและภาวะการมีงานทำ</t>
  </si>
  <si>
    <t>ยอดโอนจัดสรร 1/68</t>
  </si>
  <si>
    <t>ยอดโอนจัดสรร 2/68</t>
  </si>
  <si>
    <t>ยอดโอนจัดสรร 3/68</t>
  </si>
  <si>
    <t>ค่าตอบแทนพนักงานราชการ เดือน ตุลาคม 67</t>
  </si>
  <si>
    <t>ค่าตอบแทนพนักงานราชการ เดือน พฤศจิกายน 67</t>
  </si>
  <si>
    <t>ค่าตอบแทนพนักงานราชการ เดือน ธันวาคม 67</t>
  </si>
  <si>
    <t>ค่าตอบแทนพนักงานราชการ เดือน มกราคม 68</t>
  </si>
  <si>
    <t>ค่าตอบแทนพนักงานราชการ เดือน กุมภาพันธ์ 68</t>
  </si>
  <si>
    <t>ค่าตอบแทนพนักงานราชการ เดือน มีนาคม 68</t>
  </si>
  <si>
    <t>ค่าตอบแทนพนักงานราชการ เดือน เมษายน 68</t>
  </si>
  <si>
    <t>ค่าตอบแทนพนักงานราชการ เดือน พฤษภาคม 68</t>
  </si>
  <si>
    <t>ค่าตอบแทนพนักงานราชการ เดือน มิถุนายน 68</t>
  </si>
  <si>
    <t>ค่าตอบแทนพนักงานราชการ เดือน กรกฎาคม 68</t>
  </si>
  <si>
    <t>*บวกกลับยอดจากประกันสังคม 2%</t>
  </si>
  <si>
    <t>เงินสมทบประกันสังคมพนักงานราชการ เดือน ตุลาคม 67</t>
  </si>
  <si>
    <t>เงินสมทบประกันสังคมพนักงานราชการ เดือน พฤศจิกายน 67</t>
  </si>
  <si>
    <t>เงินสมทบประกันสังคมพนักงานราชการ เดือน ธันวาคม 67</t>
  </si>
  <si>
    <t>เงินสมทบประกันสังคมพนักงานราชการ เดือน มกราคม 68</t>
  </si>
  <si>
    <t>เงินสมทบประกันสังคมพนักงานราชการ เดือน กุมภาพันธ์ 68</t>
  </si>
  <si>
    <t>เงินสมทบประกันสังคมพนักงานราชการ เดือน มีนาคม 68</t>
  </si>
  <si>
    <t>เงินสมทบประกันสังคมพนักงานราชการ เดือน เมษายน 68</t>
  </si>
  <si>
    <t>เงินสมทบประกันสังคมพนักงานราชการ เดือน พฤษภาคม 68</t>
  </si>
  <si>
    <t>เงินสมทบประกันสังคมพนักงานราชการ เดือน มิถุนายน 68</t>
  </si>
  <si>
    <t>เงินสมทบประกันสังคมพนักงานราชการ เดือน กรกฎาคม 68</t>
  </si>
  <si>
    <t>ครุภัณฑ์</t>
  </si>
  <si>
    <t>ชุดทดลองปฏิบัติการแปลงผันพลังงานทางไฟฟ้า วิทยาลัยการอาชีพแม่สะเรียง</t>
  </si>
  <si>
    <t>ที่ดินและสิ่งก่อสร้าง</t>
  </si>
  <si>
    <t>อาคารแฟลต 14 หน่วย วิทยาลัยการอาชีพแม่สะเรียง</t>
  </si>
  <si>
    <t>ค่าตอบแทนพนักงานราชการ เดือน สิงหาคม 68</t>
  </si>
  <si>
    <t>เงินสมทบประกันสังคมพนักงานราชการ เดือน สิงหาคม 68</t>
  </si>
  <si>
    <t>ยอดโอนจัดสรร 1/2568</t>
  </si>
  <si>
    <t>ยอดโอนจัดสรร 2/2568</t>
  </si>
  <si>
    <t>โครงการจัดการศึกษาเรียนร่วมหลักสูตรอาชีวศึกษาและมัธยมศึกษาตอนปลาย (ทวิศึกษา)</t>
  </si>
  <si>
    <t>โครงการพัฒนาทักษะและสมรรถนะวิชาชีพกำลังคน (Up skill, Re skill) เพื่อลดภาระของผู้เรียนและผู้ปกครอง</t>
  </si>
  <si>
    <t xml:space="preserve">โครงการพัฒนาและเสริมสร้างศักยภาพทรัพยากรมนุษย์ </t>
  </si>
  <si>
    <t>ยอดโอนจัดสรร 3/2568</t>
  </si>
  <si>
    <t xml:space="preserve">ค่าหนังสือเรียน ภาคเรียนที่ 1/2568 ปวช.1-3 </t>
  </si>
  <si>
    <t>ค่าหนังสือเรียน ภาคเรียนที่ 1/2568 ปวช.1-3 (จัดซื้อเพิ่มเติม)</t>
  </si>
  <si>
    <t>โครงการจัดซื้อหนังสือ เพิ่มแหล่งข้อมูลการเรียนรู้</t>
  </si>
  <si>
    <t xml:space="preserve">ค่าหนังสือเรียน ภาคเรียนที่ 2/2568 ปวช.1-3 </t>
  </si>
  <si>
    <t>โครงการขยายโอกาสทางการศึกษาและวิชาชีพ</t>
  </si>
  <si>
    <t>ค่าหนังสือเรียนเพิ่มเติม 2/68</t>
  </si>
  <si>
    <t>ค่าหนังสือ เพื่อเพิ่มความรู้ ส่งเสริมการอ่าน</t>
  </si>
  <si>
    <t>ยอดยกมา2568</t>
  </si>
  <si>
    <t>งวดที่ 1 2569</t>
  </si>
  <si>
    <t>งวดที่ 2 2569</t>
  </si>
  <si>
    <t>งวดที่ 3  2569</t>
  </si>
  <si>
    <t>งวดที่ 4  2569</t>
  </si>
  <si>
    <t>งบเงินอุดหนุนค่าใช้จ่ายในการจัดการเรียนการศึกษาขั้นพื้นฐาน(ค่าจัดการเรียนการสอน) 2569</t>
  </si>
  <si>
    <t>งบอุดหนุนกิจกรรมพัฒนาผู้เรียน 2569</t>
  </si>
  <si>
    <t>ชุดปฏิบัติการช่างสำรวจและงานไม้พร้อมอุปกรณ์ เครื่องมือดิจิตอล</t>
  </si>
  <si>
    <t>สรุปรายจ่ายงบประมาณประจำปี 2569</t>
  </si>
  <si>
    <t>งบดำเนินงาน ผลผลิต ปวช.</t>
  </si>
  <si>
    <t>โครงการจัดหาบุคลากรสนับสนุนเพื่อคืนครูให้นักเรียน (จำนวน 2 คน)</t>
  </si>
  <si>
    <t>โครงการเพิ่มประสิทธิภาพการบริหารจัดการศึกษาระดับอาชีวศึกษา (จำนวน 2 คน)</t>
  </si>
  <si>
    <t>1 ต.ค. 68</t>
  </si>
  <si>
    <t>งบดำเนินงาน ค่าสาธารณูโภค (งบปวช.)</t>
  </si>
  <si>
    <t>งบอุดหนุนการจัดการเรียนการสอน (ยอดยกมา 2568)</t>
  </si>
  <si>
    <t>งบอุดหนุนการจัดการเรียนการสอน ปีงบประมาณ 2569</t>
  </si>
  <si>
    <t>งบอุดหนุน กิจกรรมพัฒนาผู้เรียน ประจำปีงบประมาณ 2568 ยอดยกมา</t>
  </si>
  <si>
    <t>ยอดโอนจัดสรร 1/69</t>
  </si>
  <si>
    <t>ยอดโอนจัดสรร 1/2569</t>
  </si>
  <si>
    <t>โครงการส่งเสริมพัฒนาทักษะวิชาชีพ ทักษะพื้นฐาน เพื่อพัฒนาศักยภาพผู้เรียนอาชีวศึกษา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</si>
</sst>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87" formatCode="_-* #,##0.00_-;\-* #,##0.00_-;_-* &quot;-&quot;??_-;_-@_-"/>
    <numFmt numFmtId="188" formatCode="_-* #,##0_-;\-* #,##0_-;_-* &quot;-&quot;??_-;_-@_-"/>
    <numFmt numFmtId="189" formatCode="[$-1870000]d/mm/yyyy;@"/>
  </numFmts>
  <fonts count="19" x14ac:knownFonts="1">
    <font>
      <sz val="11"/>
      <color theme="1"/>
      <name val="Tahoma"/>
      <family val="2"/>
      <charset val="222"/>
      <scheme val="minor"/>
    </font>
    <font>
      <sz val="14"/>
      <color theme="1"/>
      <name val="TH SarabunPSK"/>
      <family val="2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color rgb="FFFF0000"/>
      <name val="TH SarabunPSK"/>
      <family val="2"/>
    </font>
    <font>
      <sz val="13"/>
      <color theme="1"/>
      <name val="TH SarabunPSK"/>
      <family val="2"/>
    </font>
    <font>
      <b/>
      <sz val="16"/>
      <color theme="1"/>
      <name val="TH SarabunPSK"/>
      <family val="2"/>
    </font>
    <font>
      <sz val="14"/>
      <color theme="1"/>
      <name val="Tahoma"/>
      <family val="2"/>
      <charset val="222"/>
      <scheme val="minor"/>
    </font>
    <font>
      <b/>
      <sz val="14"/>
      <color theme="1"/>
      <name val="Angsana New"/>
      <family val="1"/>
    </font>
    <font>
      <sz val="16"/>
      <color theme="1"/>
      <name val="TH SarabunPSK"/>
      <family val="2"/>
    </font>
    <font>
      <sz val="16"/>
      <name val="TH SarabunPSK"/>
      <family val="2"/>
    </font>
    <font>
      <sz val="9"/>
      <color theme="1"/>
      <name val="TH SarabunPSK"/>
      <family val="2"/>
    </font>
    <font>
      <u val="double"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sz val="16"/>
      <color rgb="FFFF0000"/>
      <name val="TH SarabunPSK"/>
      <family val="2"/>
    </font>
    <font>
      <b/>
      <u val="double"/>
      <sz val="16"/>
      <color theme="1"/>
      <name val="TH SarabunPSK"/>
      <family val="2"/>
    </font>
    <font>
      <sz val="16"/>
      <color theme="1"/>
      <name val="Angsana New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3DF8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CC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87" fontId="2" fillId="0" borderId="0" applyFont="0" applyFill="0" applyBorder="0" applyAlignment="0" applyProtection="0"/>
  </cellStyleXfs>
  <cellXfs count="188">
    <xf numFmtId="0" fontId="0" fillId="0" borderId="0" xfId="0"/>
    <xf numFmtId="188" fontId="0" fillId="0" borderId="0" xfId="0" applyNumberFormat="1"/>
    <xf numFmtId="187" fontId="0" fillId="0" borderId="0" xfId="0" applyNumberFormat="1"/>
    <xf numFmtId="0" fontId="8" fillId="0" borderId="0" xfId="0" applyFont="1"/>
    <xf numFmtId="0" fontId="6" fillId="0" borderId="4" xfId="0" applyFont="1" applyBorder="1"/>
    <xf numFmtId="187" fontId="9" fillId="0" borderId="1" xfId="1" applyFont="1" applyFill="1" applyBorder="1"/>
    <xf numFmtId="187" fontId="9" fillId="0" borderId="1" xfId="1" applyFont="1" applyFill="1" applyBorder="1" applyAlignment="1">
      <alignment horizontal="right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87" fontId="9" fillId="0" borderId="1" xfId="0" applyNumberFormat="1" applyFont="1" applyBorder="1"/>
    <xf numFmtId="15" fontId="6" fillId="0" borderId="4" xfId="0" applyNumberFormat="1" applyFont="1" applyBorder="1"/>
    <xf numFmtId="0" fontId="5" fillId="0" borderId="3" xfId="0" applyFont="1" applyBorder="1" applyAlignment="1">
      <alignment horizontal="center" vertical="center"/>
    </xf>
    <xf numFmtId="188" fontId="9" fillId="0" borderId="1" xfId="1" applyNumberFormat="1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/>
    </xf>
    <xf numFmtId="188" fontId="9" fillId="4" borderId="1" xfId="1" applyNumberFormat="1" applyFont="1" applyFill="1" applyBorder="1" applyAlignment="1">
      <alignment horizontal="center" vertical="center"/>
    </xf>
    <xf numFmtId="0" fontId="12" fillId="0" borderId="1" xfId="0" applyFont="1" applyBorder="1"/>
    <xf numFmtId="188" fontId="9" fillId="0" borderId="1" xfId="1" applyNumberFormat="1" applyFont="1" applyBorder="1"/>
    <xf numFmtId="0" fontId="9" fillId="3" borderId="1" xfId="0" applyFont="1" applyFill="1" applyBorder="1"/>
    <xf numFmtId="0" fontId="13" fillId="2" borderId="1" xfId="0" applyFont="1" applyFill="1" applyBorder="1" applyAlignment="1">
      <alignment horizontal="center"/>
    </xf>
    <xf numFmtId="188" fontId="9" fillId="0" borderId="1" xfId="1" applyNumberFormat="1" applyFont="1" applyFill="1" applyBorder="1"/>
    <xf numFmtId="188" fontId="10" fillId="0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187" fontId="9" fillId="2" borderId="1" xfId="1" applyFont="1" applyFill="1" applyBorder="1"/>
    <xf numFmtId="188" fontId="9" fillId="0" borderId="1" xfId="1" applyNumberFormat="1" applyFont="1" applyFill="1" applyBorder="1" applyAlignment="1">
      <alignment horizontal="right"/>
    </xf>
    <xf numFmtId="188" fontId="9" fillId="2" borderId="1" xfId="1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center" wrapText="1"/>
    </xf>
    <xf numFmtId="187" fontId="9" fillId="2" borderId="1" xfId="0" applyNumberFormat="1" applyFont="1" applyFill="1" applyBorder="1"/>
    <xf numFmtId="0" fontId="9" fillId="5" borderId="1" xfId="0" applyFont="1" applyFill="1" applyBorder="1" applyAlignment="1">
      <alignment horizontal="center"/>
    </xf>
    <xf numFmtId="187" fontId="10" fillId="2" borderId="1" xfId="1" applyFont="1" applyFill="1" applyBorder="1" applyAlignment="1">
      <alignment horizontal="center"/>
    </xf>
    <xf numFmtId="188" fontId="9" fillId="5" borderId="1" xfId="0" applyNumberFormat="1" applyFont="1" applyFill="1" applyBorder="1"/>
    <xf numFmtId="188" fontId="9" fillId="0" borderId="1" xfId="1" applyNumberFormat="1" applyFont="1" applyFill="1" applyBorder="1" applyAlignment="1">
      <alignment horizontal="center" vertical="center"/>
    </xf>
    <xf numFmtId="188" fontId="9" fillId="0" borderId="3" xfId="1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1" fillId="0" borderId="1" xfId="0" applyFont="1" applyBorder="1"/>
    <xf numFmtId="0" fontId="9" fillId="0" borderId="1" xfId="0" applyFont="1" applyBorder="1" applyAlignment="1">
      <alignment vertical="top" wrapText="1"/>
    </xf>
    <xf numFmtId="0" fontId="7" fillId="5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wrapText="1"/>
    </xf>
    <xf numFmtId="14" fontId="9" fillId="0" borderId="1" xfId="0" applyNumberFormat="1" applyFont="1" applyBorder="1"/>
    <xf numFmtId="189" fontId="9" fillId="0" borderId="1" xfId="0" applyNumberFormat="1" applyFont="1" applyBorder="1"/>
    <xf numFmtId="0" fontId="9" fillId="0" borderId="0" xfId="0" applyFont="1"/>
    <xf numFmtId="0" fontId="6" fillId="0" borderId="1" xfId="0" applyFont="1" applyBorder="1" applyAlignment="1">
      <alignment horizontal="center" vertical="center"/>
    </xf>
    <xf numFmtId="187" fontId="6" fillId="0" borderId="1" xfId="1" applyFont="1" applyBorder="1" applyAlignment="1">
      <alignment horizontal="center" vertical="center"/>
    </xf>
    <xf numFmtId="187" fontId="9" fillId="0" borderId="1" xfId="1" applyFont="1" applyBorder="1"/>
    <xf numFmtId="187" fontId="9" fillId="0" borderId="0" xfId="1" applyFont="1"/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wrapText="1"/>
    </xf>
    <xf numFmtId="0" fontId="9" fillId="6" borderId="1" xfId="0" applyFont="1" applyFill="1" applyBorder="1"/>
    <xf numFmtId="0" fontId="9" fillId="6" borderId="1" xfId="0" applyFont="1" applyFill="1" applyBorder="1" applyAlignment="1">
      <alignment horizontal="center"/>
    </xf>
    <xf numFmtId="187" fontId="9" fillId="6" borderId="1" xfId="1" applyFont="1" applyFill="1" applyBorder="1"/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6" borderId="1" xfId="0" applyFont="1" applyFill="1" applyBorder="1" applyAlignment="1">
      <alignment vertical="top"/>
    </xf>
    <xf numFmtId="0" fontId="9" fillId="0" borderId="0" xfId="0" applyFont="1" applyAlignment="1">
      <alignment vertical="top"/>
    </xf>
    <xf numFmtId="187" fontId="16" fillId="0" borderId="1" xfId="1" applyFont="1" applyBorder="1"/>
    <xf numFmtId="187" fontId="9" fillId="0" borderId="1" xfId="1" applyFont="1" applyBorder="1" applyAlignment="1"/>
    <xf numFmtId="0" fontId="16" fillId="0" borderId="1" xfId="0" applyFont="1" applyBorder="1"/>
    <xf numFmtId="14" fontId="9" fillId="0" borderId="1" xfId="0" applyNumberFormat="1" applyFont="1" applyBorder="1" applyAlignment="1">
      <alignment horizontal="right"/>
    </xf>
    <xf numFmtId="189" fontId="9" fillId="0" borderId="1" xfId="0" applyNumberFormat="1" applyFont="1" applyBorder="1" applyAlignment="1">
      <alignment vertical="top"/>
    </xf>
    <xf numFmtId="14" fontId="9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horizontal="right" vertical="top"/>
    </xf>
    <xf numFmtId="0" fontId="9" fillId="6" borderId="1" xfId="0" applyFont="1" applyFill="1" applyBorder="1" applyAlignment="1">
      <alignment horizontal="center" vertical="top"/>
    </xf>
    <xf numFmtId="0" fontId="9" fillId="0" borderId="0" xfId="0" applyFont="1" applyAlignment="1">
      <alignment horizontal="center" vertical="top"/>
    </xf>
    <xf numFmtId="187" fontId="9" fillId="0" borderId="0" xfId="0" applyNumberFormat="1" applyFont="1"/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187" fontId="6" fillId="0" borderId="1" xfId="1" applyFont="1" applyBorder="1" applyAlignment="1">
      <alignment horizontal="center" vertical="center" wrapText="1"/>
    </xf>
    <xf numFmtId="187" fontId="9" fillId="0" borderId="1" xfId="1" applyFont="1" applyBorder="1" applyAlignment="1">
      <alignment horizontal="center" wrapText="1"/>
    </xf>
    <xf numFmtId="187" fontId="9" fillId="6" borderId="1" xfId="1" applyFont="1" applyFill="1" applyBorder="1" applyAlignment="1">
      <alignment horizontal="center" wrapText="1"/>
    </xf>
    <xf numFmtId="187" fontId="9" fillId="0" borderId="0" xfId="1" applyFont="1" applyAlignment="1">
      <alignment horizontal="center" wrapText="1"/>
    </xf>
    <xf numFmtId="187" fontId="10" fillId="0" borderId="1" xfId="1" applyFont="1" applyBorder="1"/>
    <xf numFmtId="189" fontId="9" fillId="0" borderId="1" xfId="0" applyNumberFormat="1" applyFont="1" applyBorder="1" applyAlignment="1">
      <alignment horizontal="right"/>
    </xf>
    <xf numFmtId="187" fontId="9" fillId="0" borderId="1" xfId="1" applyFont="1" applyBorder="1" applyAlignment="1">
      <alignment vertical="top"/>
    </xf>
    <xf numFmtId="0" fontId="9" fillId="0" borderId="1" xfId="0" applyFont="1" applyBorder="1" applyAlignment="1">
      <alignment horizontal="center" vertical="top" wrapText="1"/>
    </xf>
    <xf numFmtId="187" fontId="9" fillId="6" borderId="1" xfId="1" applyFont="1" applyFill="1" applyBorder="1" applyAlignment="1">
      <alignment vertical="top"/>
    </xf>
    <xf numFmtId="187" fontId="9" fillId="0" borderId="0" xfId="1" applyFont="1" applyAlignment="1">
      <alignment vertical="top"/>
    </xf>
    <xf numFmtId="14" fontId="9" fillId="0" borderId="1" xfId="0" applyNumberFormat="1" applyFont="1" applyBorder="1" applyAlignment="1">
      <alignment vertical="center"/>
    </xf>
    <xf numFmtId="43" fontId="9" fillId="0" borderId="0" xfId="0" applyNumberFormat="1" applyFont="1"/>
    <xf numFmtId="187" fontId="9" fillId="0" borderId="0" xfId="0" applyNumberFormat="1" applyFont="1" applyAlignment="1">
      <alignment vertical="top"/>
    </xf>
    <xf numFmtId="0" fontId="9" fillId="0" borderId="1" xfId="0" applyFont="1" applyBorder="1" applyAlignment="1">
      <alignment vertical="center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189" fontId="9" fillId="0" borderId="1" xfId="0" applyNumberFormat="1" applyFont="1" applyBorder="1" applyAlignment="1">
      <alignment vertical="center"/>
    </xf>
    <xf numFmtId="187" fontId="9" fillId="0" borderId="1" xfId="1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horizontal="left" wrapText="1"/>
    </xf>
    <xf numFmtId="0" fontId="17" fillId="0" borderId="3" xfId="0" applyFont="1" applyBorder="1" applyAlignment="1">
      <alignment horizontal="left" vertical="center"/>
    </xf>
    <xf numFmtId="187" fontId="9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87" fontId="18" fillId="0" borderId="0" xfId="1" applyFont="1"/>
    <xf numFmtId="189" fontId="9" fillId="0" borderId="1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189" fontId="9" fillId="0" borderId="1" xfId="0" applyNumberFormat="1" applyFont="1" applyBorder="1" applyAlignment="1">
      <alignment horizontal="center" vertical="top"/>
    </xf>
    <xf numFmtId="14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left" vertical="top" wrapText="1"/>
    </xf>
    <xf numFmtId="187" fontId="9" fillId="0" borderId="1" xfId="1" applyFont="1" applyBorder="1" applyAlignment="1">
      <alignment vertical="top" wrapText="1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/>
    <xf numFmtId="188" fontId="10" fillId="7" borderId="1" xfId="1" applyNumberFormat="1" applyFont="1" applyFill="1" applyBorder="1"/>
    <xf numFmtId="0" fontId="9" fillId="7" borderId="1" xfId="0" applyFont="1" applyFill="1" applyBorder="1"/>
    <xf numFmtId="188" fontId="10" fillId="7" borderId="1" xfId="1" applyNumberFormat="1" applyFont="1" applyFill="1" applyBorder="1" applyAlignment="1">
      <alignment horizontal="center"/>
    </xf>
    <xf numFmtId="0" fontId="9" fillId="7" borderId="1" xfId="0" applyFont="1" applyFill="1" applyBorder="1" applyAlignment="1">
      <alignment horizontal="center"/>
    </xf>
    <xf numFmtId="188" fontId="9" fillId="7" borderId="1" xfId="1" applyNumberFormat="1" applyFont="1" applyFill="1" applyBorder="1"/>
    <xf numFmtId="188" fontId="9" fillId="7" borderId="1" xfId="1" applyNumberFormat="1" applyFont="1" applyFill="1" applyBorder="1" applyAlignment="1">
      <alignment horizontal="center"/>
    </xf>
    <xf numFmtId="187" fontId="9" fillId="7" borderId="1" xfId="1" applyFont="1" applyFill="1" applyBorder="1" applyAlignment="1">
      <alignment horizontal="right"/>
    </xf>
    <xf numFmtId="0" fontId="10" fillId="7" borderId="1" xfId="0" applyFont="1" applyFill="1" applyBorder="1" applyAlignment="1">
      <alignment wrapText="1"/>
    </xf>
    <xf numFmtId="0" fontId="9" fillId="7" borderId="1" xfId="0" applyFont="1" applyFill="1" applyBorder="1" applyAlignment="1">
      <alignment horizontal="center" vertical="center"/>
    </xf>
    <xf numFmtId="188" fontId="9" fillId="7" borderId="1" xfId="1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center"/>
    </xf>
    <xf numFmtId="187" fontId="10" fillId="7" borderId="1" xfId="1" applyFont="1" applyFill="1" applyBorder="1"/>
    <xf numFmtId="187" fontId="9" fillId="7" borderId="1" xfId="1" applyFont="1" applyFill="1" applyBorder="1"/>
    <xf numFmtId="188" fontId="9" fillId="7" borderId="1" xfId="1" applyNumberFormat="1" applyFont="1" applyFill="1" applyBorder="1" applyAlignment="1">
      <alignment vertical="center"/>
    </xf>
    <xf numFmtId="187" fontId="10" fillId="7" borderId="1" xfId="1" applyFont="1" applyFill="1" applyBorder="1" applyAlignment="1">
      <alignment horizontal="center" vertical="center"/>
    </xf>
    <xf numFmtId="188" fontId="10" fillId="7" borderId="1" xfId="1" applyNumberFormat="1" applyFont="1" applyFill="1" applyBorder="1" applyAlignment="1">
      <alignment horizontal="center" vertical="center"/>
    </xf>
    <xf numFmtId="187" fontId="10" fillId="7" borderId="1" xfId="1" applyFont="1" applyFill="1" applyBorder="1" applyAlignment="1">
      <alignment vertical="center"/>
    </xf>
    <xf numFmtId="0" fontId="10" fillId="7" borderId="1" xfId="0" applyFont="1" applyFill="1" applyBorder="1" applyAlignment="1">
      <alignment vertical="top" wrapText="1"/>
    </xf>
    <xf numFmtId="187" fontId="9" fillId="7" borderId="1" xfId="1" applyFont="1" applyFill="1" applyBorder="1" applyAlignment="1">
      <alignment vertical="center"/>
    </xf>
    <xf numFmtId="0" fontId="9" fillId="7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wrapText="1"/>
    </xf>
    <xf numFmtId="0" fontId="9" fillId="7" borderId="1" xfId="0" applyFont="1" applyFill="1" applyBorder="1" applyAlignment="1">
      <alignment horizontal="left" wrapText="1"/>
    </xf>
    <xf numFmtId="187" fontId="9" fillId="7" borderId="1" xfId="1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center" vertical="center" wrapText="1"/>
    </xf>
    <xf numFmtId="188" fontId="9" fillId="7" borderId="1" xfId="1" applyNumberFormat="1" applyFont="1" applyFill="1" applyBorder="1" applyAlignment="1">
      <alignment vertical="center" wrapText="1"/>
    </xf>
    <xf numFmtId="188" fontId="9" fillId="7" borderId="1" xfId="1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87" fontId="9" fillId="7" borderId="1" xfId="1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vertical="center"/>
    </xf>
    <xf numFmtId="0" fontId="10" fillId="8" borderId="1" xfId="0" applyFont="1" applyFill="1" applyBorder="1" applyAlignment="1">
      <alignment horizontal="center" vertical="center"/>
    </xf>
    <xf numFmtId="0" fontId="10" fillId="8" borderId="1" xfId="0" applyFont="1" applyFill="1" applyBorder="1"/>
    <xf numFmtId="0" fontId="10" fillId="8" borderId="1" xfId="0" applyFont="1" applyFill="1" applyBorder="1" applyAlignment="1">
      <alignment horizontal="center"/>
    </xf>
    <xf numFmtId="188" fontId="10" fillId="8" borderId="1" xfId="1" applyNumberFormat="1" applyFont="1" applyFill="1" applyBorder="1"/>
    <xf numFmtId="187" fontId="10" fillId="8" borderId="1" xfId="1" applyFont="1" applyFill="1" applyBorder="1" applyAlignment="1">
      <alignment horizontal="right"/>
    </xf>
    <xf numFmtId="0" fontId="9" fillId="8" borderId="1" xfId="0" applyFont="1" applyFill="1" applyBorder="1"/>
    <xf numFmtId="0" fontId="9" fillId="8" borderId="1" xfId="0" applyFont="1" applyFill="1" applyBorder="1" applyAlignment="1">
      <alignment horizontal="center" vertical="center"/>
    </xf>
    <xf numFmtId="187" fontId="10" fillId="8" borderId="1" xfId="1" applyFont="1" applyFill="1" applyBorder="1" applyAlignment="1">
      <alignment horizontal="center" vertical="center"/>
    </xf>
    <xf numFmtId="188" fontId="10" fillId="8" borderId="1" xfId="1" applyNumberFormat="1" applyFont="1" applyFill="1" applyBorder="1" applyAlignment="1">
      <alignment horizontal="center"/>
    </xf>
    <xf numFmtId="187" fontId="10" fillId="8" borderId="1" xfId="1" applyFont="1" applyFill="1" applyBorder="1"/>
    <xf numFmtId="188" fontId="10" fillId="8" borderId="1" xfId="1" applyNumberFormat="1" applyFont="1" applyFill="1" applyBorder="1" applyAlignment="1">
      <alignment vertical="center"/>
    </xf>
    <xf numFmtId="188" fontId="10" fillId="8" borderId="1" xfId="1" applyNumberFormat="1" applyFont="1" applyFill="1" applyBorder="1" applyAlignment="1">
      <alignment horizontal="center" vertical="center"/>
    </xf>
    <xf numFmtId="187" fontId="10" fillId="8" borderId="1" xfId="1" applyFont="1" applyFill="1" applyBorder="1" applyAlignment="1">
      <alignment vertical="center"/>
    </xf>
    <xf numFmtId="0" fontId="10" fillId="8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horizontal="center"/>
    </xf>
    <xf numFmtId="188" fontId="9" fillId="8" borderId="1" xfId="1" applyNumberFormat="1" applyFont="1" applyFill="1" applyBorder="1"/>
    <xf numFmtId="188" fontId="9" fillId="8" borderId="1" xfId="1" applyNumberFormat="1" applyFont="1" applyFill="1" applyBorder="1" applyAlignment="1">
      <alignment horizontal="center"/>
    </xf>
    <xf numFmtId="187" fontId="9" fillId="8" borderId="1" xfId="1" applyFont="1" applyFill="1" applyBorder="1" applyAlignment="1">
      <alignment horizontal="right"/>
    </xf>
    <xf numFmtId="188" fontId="1" fillId="8" borderId="1" xfId="1" applyNumberFormat="1" applyFont="1" applyFill="1" applyBorder="1"/>
    <xf numFmtId="187" fontId="10" fillId="8" borderId="1" xfId="1" applyFont="1" applyFill="1" applyBorder="1" applyAlignment="1">
      <alignment horizontal="center"/>
    </xf>
    <xf numFmtId="0" fontId="10" fillId="8" borderId="1" xfId="0" applyFont="1" applyFill="1" applyBorder="1" applyAlignment="1">
      <alignment vertical="center"/>
    </xf>
    <xf numFmtId="187" fontId="10" fillId="8" borderId="1" xfId="1" applyFont="1" applyFill="1" applyBorder="1" applyAlignment="1" applyProtection="1">
      <alignment horizontal="right"/>
      <protection locked="0"/>
    </xf>
    <xf numFmtId="0" fontId="10" fillId="8" borderId="1" xfId="0" applyFont="1" applyFill="1" applyBorder="1" applyAlignment="1">
      <alignment horizontal="right"/>
    </xf>
    <xf numFmtId="187" fontId="9" fillId="0" borderId="1" xfId="1" applyFont="1" applyBorder="1" applyAlignment="1">
      <alignment horizontal="center"/>
    </xf>
    <xf numFmtId="187" fontId="9" fillId="0" borderId="1" xfId="1" applyFont="1" applyBorder="1" applyAlignment="1">
      <alignment horizontal="center" vertical="center"/>
    </xf>
    <xf numFmtId="187" fontId="10" fillId="0" borderId="1" xfId="1" applyFont="1" applyBorder="1" applyAlignment="1"/>
    <xf numFmtId="0" fontId="10" fillId="8" borderId="1" xfId="0" applyFont="1" applyFill="1" applyBorder="1" applyAlignment="1">
      <alignment wrapText="1"/>
    </xf>
    <xf numFmtId="187" fontId="9" fillId="8" borderId="1" xfId="1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vertical="top" wrapText="1"/>
    </xf>
    <xf numFmtId="188" fontId="9" fillId="8" borderId="1" xfId="1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88" fontId="9" fillId="4" borderId="2" xfId="1" applyNumberFormat="1" applyFont="1" applyFill="1" applyBorder="1" applyAlignment="1">
      <alignment horizontal="center" vertical="center"/>
    </xf>
    <xf numFmtId="188" fontId="9" fillId="4" borderId="3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top"/>
    </xf>
    <xf numFmtId="187" fontId="9" fillId="0" borderId="2" xfId="1" applyFont="1" applyBorder="1" applyAlignment="1">
      <alignment horizontal="center"/>
    </xf>
    <xf numFmtId="187" fontId="9" fillId="0" borderId="3" xfId="1" applyFont="1" applyBorder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CCCC"/>
      <color rgb="FFFF9999"/>
      <color rgb="FFF3DF8B"/>
      <color rgb="FFFF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10/relationships/person" Target="persons/person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257176</xdr:colOff>
      <xdr:row>55</xdr:row>
      <xdr:rowOff>85726</xdr:rowOff>
    </xdr:from>
    <xdr:to>
      <xdr:col>1</xdr:col>
      <xdr:colOff>133350</xdr:colOff>
      <xdr:row>56</xdr:row>
      <xdr:rowOff>200026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57176" y="15573376"/>
          <a:ext cx="323849" cy="38100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endParaRPr lang="th-TH" sz="1100"/>
        </a:p>
      </xdr:txBody>
    </xdr:sp>
    <xdr:clientData/>
  </xdr:twoCellAnchor>
  <xdr:oneCellAnchor>
    <xdr:from>
      <xdr:col>4</xdr:col>
      <xdr:colOff>266700</xdr:colOff>
      <xdr:row>59</xdr:row>
      <xdr:rowOff>0</xdr:rowOff>
    </xdr:from>
    <xdr:ext cx="184731" cy="26257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534025" y="17859375"/>
          <a:ext cx="184731" cy="2625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th-TH" sz="1100"/>
        </a:p>
      </xdr:txBody>
    </xdr:sp>
    <xdr:clientData/>
  </xdr:oneCellAnchor>
  <xdr:twoCellAnchor>
    <xdr:from>
      <xdr:col>1</xdr:col>
      <xdr:colOff>2457450</xdr:colOff>
      <xdr:row>55</xdr:row>
      <xdr:rowOff>114300</xdr:rowOff>
    </xdr:from>
    <xdr:to>
      <xdr:col>1</xdr:col>
      <xdr:colOff>2809875</xdr:colOff>
      <xdr:row>56</xdr:row>
      <xdr:rowOff>219075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2905125" y="15601950"/>
          <a:ext cx="352425" cy="371475"/>
        </a:xfrm>
        <a:prstGeom prst="rect">
          <a:avLst/>
        </a:prstGeom>
        <a:solidFill>
          <a:srgbClr val="FFCC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h-TH" sz="1100"/>
        </a:p>
      </xdr:txBody>
    </xdr:sp>
    <xdr:clientData/>
  </xdr:twoCellAnchor>
  <xdr:twoCellAnchor>
    <xdr:from>
      <xdr:col>5</xdr:col>
      <xdr:colOff>438150</xdr:colOff>
      <xdr:row>55</xdr:row>
      <xdr:rowOff>104775</xdr:rowOff>
    </xdr:from>
    <xdr:to>
      <xdr:col>5</xdr:col>
      <xdr:colOff>781050</xdr:colOff>
      <xdr:row>56</xdr:row>
      <xdr:rowOff>200024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6477000" y="15592425"/>
          <a:ext cx="342900" cy="36194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th-TH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0"/>
  <sheetViews>
    <sheetView zoomScaleNormal="100" workbookViewId="0">
      <selection activeCell="A26" sqref="A26:XFD26"/>
    </sheetView>
  </sheetViews>
  <sheetFormatPr defaultRowHeight="18.75" x14ac:dyDescent="0.3"/>
  <cols>
    <col min="1" max="1" width="5.875" style="39" customWidth="1"/>
    <col min="2" max="2" width="35.25" customWidth="1"/>
    <col min="3" max="3" width="12.25" customWidth="1"/>
    <col min="4" max="4" width="12.5" customWidth="1"/>
    <col min="5" max="5" width="12.125" customWidth="1"/>
    <col min="6" max="7" width="12.375" customWidth="1"/>
    <col min="8" max="8" width="12" customWidth="1"/>
    <col min="9" max="10" width="12.75" customWidth="1"/>
    <col min="11" max="11" width="8" customWidth="1"/>
    <col min="12" max="12" width="9" style="3"/>
    <col min="13" max="13" width="13.125" bestFit="1" customWidth="1"/>
    <col min="14" max="14" width="10.375" bestFit="1" customWidth="1"/>
  </cols>
  <sheetData>
    <row r="1" spans="1:14" ht="22.5" customHeight="1" x14ac:dyDescent="0.35">
      <c r="A1" s="183" t="s">
        <v>127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</row>
    <row r="2" spans="1:14" ht="22.5" customHeight="1" x14ac:dyDescent="0.35">
      <c r="A2" s="40" t="s">
        <v>17</v>
      </c>
      <c r="B2" s="4"/>
      <c r="C2" s="4"/>
      <c r="D2" s="4"/>
      <c r="E2" s="4"/>
      <c r="F2" s="4"/>
      <c r="G2" s="4"/>
      <c r="H2" s="4"/>
      <c r="I2" s="4"/>
      <c r="J2" s="11">
        <f ca="1">NOW()</f>
        <v>46006.465553472219</v>
      </c>
      <c r="K2" s="4"/>
    </row>
    <row r="3" spans="1:14" ht="21" x14ac:dyDescent="0.3">
      <c r="A3" s="178" t="s">
        <v>0</v>
      </c>
      <c r="B3" s="179" t="s">
        <v>15</v>
      </c>
      <c r="C3" s="14" t="s">
        <v>1</v>
      </c>
      <c r="D3" s="14" t="s">
        <v>27</v>
      </c>
      <c r="E3" s="14" t="s">
        <v>27</v>
      </c>
      <c r="F3" s="14" t="s">
        <v>27</v>
      </c>
      <c r="G3" s="14" t="s">
        <v>27</v>
      </c>
      <c r="H3" s="14" t="s">
        <v>11</v>
      </c>
      <c r="I3" s="15" t="s">
        <v>2</v>
      </c>
      <c r="J3" s="181" t="s">
        <v>4</v>
      </c>
      <c r="K3" s="179" t="s">
        <v>5</v>
      </c>
    </row>
    <row r="4" spans="1:14" ht="21" x14ac:dyDescent="0.3">
      <c r="A4" s="178"/>
      <c r="B4" s="180"/>
      <c r="C4" s="14" t="s">
        <v>119</v>
      </c>
      <c r="D4" s="14" t="s">
        <v>120</v>
      </c>
      <c r="E4" s="14" t="s">
        <v>121</v>
      </c>
      <c r="F4" s="14" t="s">
        <v>122</v>
      </c>
      <c r="G4" s="14" t="s">
        <v>123</v>
      </c>
      <c r="H4" s="14" t="s">
        <v>27</v>
      </c>
      <c r="I4" s="15" t="s">
        <v>3</v>
      </c>
      <c r="J4" s="182"/>
      <c r="K4" s="180"/>
    </row>
    <row r="5" spans="1:14" ht="21" x14ac:dyDescent="0.35">
      <c r="A5" s="7"/>
      <c r="B5" s="16" t="s">
        <v>51</v>
      </c>
      <c r="C5" s="8"/>
      <c r="D5" s="17"/>
      <c r="E5" s="17"/>
      <c r="F5" s="17"/>
      <c r="G5" s="17"/>
      <c r="H5" s="17"/>
      <c r="I5" s="17"/>
      <c r="J5" s="17"/>
      <c r="K5" s="8"/>
    </row>
    <row r="6" spans="1:14" ht="21" x14ac:dyDescent="0.35">
      <c r="A6" s="147">
        <v>1</v>
      </c>
      <c r="B6" s="148" t="s">
        <v>56</v>
      </c>
      <c r="C6" s="149" t="s">
        <v>20</v>
      </c>
      <c r="D6" s="150">
        <v>595050</v>
      </c>
      <c r="E6" s="150"/>
      <c r="F6" s="150"/>
      <c r="G6" s="150"/>
      <c r="H6" s="150">
        <f>SUM(D6:G6)</f>
        <v>595050</v>
      </c>
      <c r="I6" s="150">
        <f>H6-J6</f>
        <v>595050</v>
      </c>
      <c r="J6" s="151">
        <v>0</v>
      </c>
      <c r="K6" s="152"/>
      <c r="M6" s="1"/>
    </row>
    <row r="7" spans="1:14" ht="21" x14ac:dyDescent="0.35">
      <c r="A7" s="147">
        <v>2</v>
      </c>
      <c r="B7" s="148" t="s">
        <v>57</v>
      </c>
      <c r="C7" s="149" t="s">
        <v>20</v>
      </c>
      <c r="D7" s="150">
        <v>19200</v>
      </c>
      <c r="E7" s="150"/>
      <c r="F7" s="155"/>
      <c r="G7" s="155"/>
      <c r="H7" s="150">
        <f>SUM(D7:G7)</f>
        <v>19200</v>
      </c>
      <c r="I7" s="150">
        <f>H7-J7</f>
        <v>18000</v>
      </c>
      <c r="J7" s="151">
        <v>1200</v>
      </c>
      <c r="K7" s="169"/>
    </row>
    <row r="8" spans="1:14" ht="21" x14ac:dyDescent="0.35">
      <c r="A8" s="35"/>
      <c r="B8" s="19" t="s">
        <v>19</v>
      </c>
      <c r="C8" s="30">
        <f>SUM(C6:C7)</f>
        <v>0</v>
      </c>
      <c r="D8" s="30">
        <f t="shared" ref="D8:J8" si="0">SUM(D6:D7)</f>
        <v>614250</v>
      </c>
      <c r="E8" s="30">
        <f t="shared" si="0"/>
        <v>0</v>
      </c>
      <c r="F8" s="30">
        <f t="shared" si="0"/>
        <v>0</v>
      </c>
      <c r="G8" s="30">
        <f t="shared" si="0"/>
        <v>0</v>
      </c>
      <c r="H8" s="30">
        <f t="shared" si="0"/>
        <v>614250</v>
      </c>
      <c r="I8" s="30">
        <f t="shared" si="0"/>
        <v>613050</v>
      </c>
      <c r="J8" s="30">
        <f t="shared" si="0"/>
        <v>1200</v>
      </c>
      <c r="K8" s="45"/>
    </row>
    <row r="9" spans="1:14" ht="21" x14ac:dyDescent="0.35">
      <c r="A9" s="7"/>
      <c r="B9" s="16" t="s">
        <v>52</v>
      </c>
      <c r="C9" s="8"/>
      <c r="D9" s="20"/>
      <c r="E9" s="20"/>
      <c r="F9" s="13"/>
      <c r="G9" s="13"/>
      <c r="H9" s="21"/>
      <c r="I9" s="21"/>
      <c r="J9" s="6"/>
      <c r="K9" s="41"/>
      <c r="M9" s="1"/>
      <c r="N9" s="1"/>
    </row>
    <row r="10" spans="1:14" ht="21" x14ac:dyDescent="0.35">
      <c r="A10" s="147">
        <v>1</v>
      </c>
      <c r="B10" s="148" t="s">
        <v>23</v>
      </c>
      <c r="C10" s="161" t="s">
        <v>20</v>
      </c>
      <c r="D10" s="162">
        <v>203750</v>
      </c>
      <c r="E10" s="162"/>
      <c r="F10" s="163"/>
      <c r="G10" s="163"/>
      <c r="H10" s="150">
        <f t="shared" ref="H10:H14" si="1">SUM(D10:G10)</f>
        <v>203750</v>
      </c>
      <c r="I10" s="150">
        <f t="shared" ref="I10:I14" si="2">H10-J10</f>
        <v>65699.820000000007</v>
      </c>
      <c r="J10" s="164">
        <v>138050.18</v>
      </c>
      <c r="K10" s="165"/>
      <c r="M10" s="1"/>
    </row>
    <row r="11" spans="1:14" ht="21" customHeight="1" x14ac:dyDescent="0.35">
      <c r="A11" s="147">
        <v>2</v>
      </c>
      <c r="B11" s="148" t="s">
        <v>24</v>
      </c>
      <c r="C11" s="161" t="s">
        <v>20</v>
      </c>
      <c r="D11" s="162">
        <v>277600</v>
      </c>
      <c r="E11" s="162"/>
      <c r="F11" s="163"/>
      <c r="G11" s="163"/>
      <c r="H11" s="150">
        <f t="shared" si="1"/>
        <v>277600</v>
      </c>
      <c r="I11" s="150">
        <f t="shared" si="2"/>
        <v>271500</v>
      </c>
      <c r="J11" s="164">
        <v>6100</v>
      </c>
      <c r="K11" s="162">
        <v>16408</v>
      </c>
      <c r="L11" s="104"/>
      <c r="M11" s="1"/>
    </row>
    <row r="12" spans="1:14" ht="21" x14ac:dyDescent="0.35">
      <c r="A12" s="147">
        <v>3</v>
      </c>
      <c r="B12" s="148" t="s">
        <v>58</v>
      </c>
      <c r="C12" s="161" t="s">
        <v>20</v>
      </c>
      <c r="D12" s="162">
        <v>226080</v>
      </c>
      <c r="E12" s="162"/>
      <c r="F12" s="163"/>
      <c r="G12" s="163"/>
      <c r="H12" s="150">
        <f t="shared" si="1"/>
        <v>226080</v>
      </c>
      <c r="I12" s="150">
        <f t="shared" si="2"/>
        <v>25000</v>
      </c>
      <c r="J12" s="164">
        <v>201080</v>
      </c>
      <c r="K12" s="152"/>
      <c r="M12" s="1"/>
    </row>
    <row r="13" spans="1:14" ht="42" hidden="1" x14ac:dyDescent="0.35">
      <c r="A13" s="113">
        <v>4</v>
      </c>
      <c r="B13" s="122" t="s">
        <v>110</v>
      </c>
      <c r="C13" s="118" t="s">
        <v>20</v>
      </c>
      <c r="D13" s="120"/>
      <c r="E13" s="124"/>
      <c r="F13" s="120"/>
      <c r="G13" s="120"/>
      <c r="H13" s="115">
        <f t="shared" si="1"/>
        <v>0</v>
      </c>
      <c r="I13" s="115">
        <f t="shared" si="2"/>
        <v>0</v>
      </c>
      <c r="J13" s="121">
        <v>0</v>
      </c>
      <c r="K13" s="116"/>
      <c r="M13" s="1"/>
    </row>
    <row r="14" spans="1:14" ht="21" hidden="1" x14ac:dyDescent="0.35">
      <c r="A14" s="113">
        <v>5</v>
      </c>
      <c r="B14" s="122" t="s">
        <v>116</v>
      </c>
      <c r="C14" s="118" t="s">
        <v>20</v>
      </c>
      <c r="D14" s="120"/>
      <c r="E14" s="124"/>
      <c r="F14" s="120"/>
      <c r="G14" s="120"/>
      <c r="H14" s="115">
        <f t="shared" si="1"/>
        <v>0</v>
      </c>
      <c r="I14" s="115">
        <f t="shared" si="2"/>
        <v>0</v>
      </c>
      <c r="J14" s="121">
        <v>0</v>
      </c>
      <c r="K14" s="116"/>
      <c r="M14" s="1"/>
    </row>
    <row r="15" spans="1:14" ht="21" x14ac:dyDescent="0.35">
      <c r="A15" s="36"/>
      <c r="B15" s="22" t="s">
        <v>6</v>
      </c>
      <c r="C15" s="23">
        <f t="shared" ref="C15:J15" si="3">SUM(C10:C14)</f>
        <v>0</v>
      </c>
      <c r="D15" s="23">
        <f t="shared" si="3"/>
        <v>707430</v>
      </c>
      <c r="E15" s="23">
        <f t="shared" si="3"/>
        <v>0</v>
      </c>
      <c r="F15" s="23">
        <f t="shared" si="3"/>
        <v>0</v>
      </c>
      <c r="G15" s="23">
        <f t="shared" si="3"/>
        <v>0</v>
      </c>
      <c r="H15" s="23">
        <f t="shared" si="3"/>
        <v>707430</v>
      </c>
      <c r="I15" s="23">
        <f t="shared" si="3"/>
        <v>362199.82</v>
      </c>
      <c r="J15" s="23">
        <f t="shared" si="3"/>
        <v>345230.18</v>
      </c>
      <c r="K15" s="23"/>
    </row>
    <row r="16" spans="1:14" ht="21" x14ac:dyDescent="0.35">
      <c r="A16" s="7"/>
      <c r="B16" s="16" t="s">
        <v>59</v>
      </c>
      <c r="C16" s="8"/>
      <c r="D16" s="20"/>
      <c r="E16" s="20"/>
      <c r="F16" s="20"/>
      <c r="G16" s="20"/>
      <c r="H16" s="20"/>
      <c r="I16" s="20"/>
      <c r="J16" s="24"/>
      <c r="K16" s="8"/>
    </row>
    <row r="17" spans="1:14" ht="21" x14ac:dyDescent="0.35">
      <c r="A17" s="147">
        <v>1</v>
      </c>
      <c r="B17" s="148" t="s">
        <v>128</v>
      </c>
      <c r="C17" s="149" t="s">
        <v>20</v>
      </c>
      <c r="D17" s="150">
        <v>420450</v>
      </c>
      <c r="E17" s="155"/>
      <c r="F17" s="155"/>
      <c r="G17" s="155"/>
      <c r="H17" s="150">
        <f>SUM(D17:G17)</f>
        <v>420450</v>
      </c>
      <c r="I17" s="156">
        <f>H17-J17</f>
        <v>185129.12</v>
      </c>
      <c r="J17" s="168">
        <v>235320.88</v>
      </c>
      <c r="K17" s="152"/>
    </row>
    <row r="18" spans="1:14" ht="21" x14ac:dyDescent="0.35">
      <c r="A18" s="36"/>
      <c r="B18" s="22" t="s">
        <v>7</v>
      </c>
      <c r="C18" s="23">
        <f>SUM(C17)</f>
        <v>0</v>
      </c>
      <c r="D18" s="23">
        <f t="shared" ref="D18:J18" si="4">SUM(D17:D17)</f>
        <v>420450</v>
      </c>
      <c r="E18" s="23">
        <f t="shared" si="4"/>
        <v>0</v>
      </c>
      <c r="F18" s="23">
        <f t="shared" si="4"/>
        <v>0</v>
      </c>
      <c r="G18" s="23">
        <f t="shared" si="4"/>
        <v>0</v>
      </c>
      <c r="H18" s="23">
        <f t="shared" si="4"/>
        <v>420450</v>
      </c>
      <c r="I18" s="23">
        <f t="shared" si="4"/>
        <v>185129.12</v>
      </c>
      <c r="J18" s="23">
        <f t="shared" si="4"/>
        <v>235320.88</v>
      </c>
      <c r="K18" s="44"/>
    </row>
    <row r="19" spans="1:14" ht="21" x14ac:dyDescent="0.35">
      <c r="A19" s="7"/>
      <c r="B19" s="26" t="s">
        <v>22</v>
      </c>
      <c r="C19" s="8"/>
      <c r="D19" s="20"/>
      <c r="E19" s="13"/>
      <c r="F19" s="13"/>
      <c r="G19" s="13"/>
      <c r="H19" s="5"/>
      <c r="I19" s="5"/>
      <c r="J19" s="5"/>
      <c r="K19" s="18"/>
    </row>
    <row r="20" spans="1:14" ht="42" x14ac:dyDescent="0.35">
      <c r="A20" s="123">
        <v>1</v>
      </c>
      <c r="B20" s="137" t="s">
        <v>126</v>
      </c>
      <c r="C20" s="124" t="s">
        <v>20</v>
      </c>
      <c r="D20" s="119">
        <v>3850000</v>
      </c>
      <c r="E20" s="120"/>
      <c r="F20" s="120"/>
      <c r="G20" s="120"/>
      <c r="H20" s="127">
        <f>SUM(D20:G20)</f>
        <v>3850000</v>
      </c>
      <c r="I20" s="127">
        <f>H20-J20</f>
        <v>0</v>
      </c>
      <c r="J20" s="127">
        <v>3850000</v>
      </c>
      <c r="K20" s="116"/>
    </row>
    <row r="21" spans="1:14" ht="21" x14ac:dyDescent="0.35">
      <c r="A21" s="36"/>
      <c r="B21" s="22" t="s">
        <v>26</v>
      </c>
      <c r="C21" s="25">
        <f t="shared" ref="C21:J21" si="5">SUM(C20:C20)</f>
        <v>0</v>
      </c>
      <c r="D21" s="25">
        <f t="shared" si="5"/>
        <v>3850000</v>
      </c>
      <c r="E21" s="25">
        <f t="shared" si="5"/>
        <v>0</v>
      </c>
      <c r="F21" s="25">
        <f t="shared" si="5"/>
        <v>0</v>
      </c>
      <c r="G21" s="25">
        <f t="shared" si="5"/>
        <v>0</v>
      </c>
      <c r="H21" s="25">
        <f t="shared" si="5"/>
        <v>3850000</v>
      </c>
      <c r="I21" s="25">
        <f t="shared" si="5"/>
        <v>0</v>
      </c>
      <c r="J21" s="25">
        <f t="shared" si="5"/>
        <v>3850000</v>
      </c>
      <c r="K21" s="44"/>
    </row>
    <row r="22" spans="1:14" ht="21" x14ac:dyDescent="0.35">
      <c r="A22" s="7"/>
      <c r="B22" s="26" t="s">
        <v>53</v>
      </c>
      <c r="C22" s="8"/>
      <c r="D22" s="17"/>
      <c r="E22" s="17"/>
      <c r="F22" s="17"/>
      <c r="G22" s="17"/>
      <c r="H22" s="17"/>
      <c r="I22" s="8"/>
      <c r="J22" s="17"/>
      <c r="K22" s="8"/>
    </row>
    <row r="23" spans="1:14" ht="61.5" customHeight="1" x14ac:dyDescent="0.35">
      <c r="A23" s="153">
        <v>1</v>
      </c>
      <c r="B23" s="160" t="s">
        <v>60</v>
      </c>
      <c r="C23" s="154">
        <v>1083500</v>
      </c>
      <c r="D23" s="157"/>
      <c r="E23" s="157"/>
      <c r="F23" s="158"/>
      <c r="G23" s="158"/>
      <c r="H23" s="159">
        <f>SUM(C23:G23)</f>
        <v>1083500</v>
      </c>
      <c r="I23" s="159">
        <f>H23-J23</f>
        <v>996321.2</v>
      </c>
      <c r="J23" s="159">
        <v>87178.8</v>
      </c>
      <c r="K23" s="148"/>
      <c r="M23" s="2"/>
      <c r="N23" s="2" t="s">
        <v>18</v>
      </c>
    </row>
    <row r="24" spans="1:14" ht="62.25" customHeight="1" x14ac:dyDescent="0.3">
      <c r="A24" s="153">
        <v>2</v>
      </c>
      <c r="B24" s="160" t="s">
        <v>124</v>
      </c>
      <c r="C24" s="158"/>
      <c r="D24" s="157">
        <v>2278580</v>
      </c>
      <c r="E24" s="157"/>
      <c r="F24" s="158"/>
      <c r="G24" s="158"/>
      <c r="H24" s="159">
        <f t="shared" ref="H24:H33" si="6">SUM(C24:G24)</f>
        <v>2278580</v>
      </c>
      <c r="I24" s="159">
        <f t="shared" ref="I24:I33" si="7">H24-J24</f>
        <v>490000</v>
      </c>
      <c r="J24" s="159">
        <v>1788580</v>
      </c>
      <c r="K24" s="167"/>
      <c r="M24" s="2"/>
      <c r="N24" s="2"/>
    </row>
    <row r="25" spans="1:14" ht="22.5" customHeight="1" x14ac:dyDescent="0.35">
      <c r="A25" s="153">
        <v>3</v>
      </c>
      <c r="B25" s="148" t="s">
        <v>61</v>
      </c>
      <c r="C25" s="154">
        <v>77522</v>
      </c>
      <c r="D25" s="150"/>
      <c r="E25" s="150"/>
      <c r="F25" s="155"/>
      <c r="G25" s="155"/>
      <c r="H25" s="156">
        <f t="shared" si="6"/>
        <v>77522</v>
      </c>
      <c r="I25" s="156">
        <f t="shared" si="7"/>
        <v>77210.070000000007</v>
      </c>
      <c r="J25" s="156">
        <v>311.93</v>
      </c>
      <c r="K25" s="152"/>
      <c r="M25" s="1"/>
    </row>
    <row r="26" spans="1:14" ht="22.5" customHeight="1" x14ac:dyDescent="0.35">
      <c r="A26" s="153">
        <v>4</v>
      </c>
      <c r="B26" s="148" t="s">
        <v>125</v>
      </c>
      <c r="C26" s="154">
        <v>0</v>
      </c>
      <c r="D26" s="156">
        <f>191520+47880+59850</f>
        <v>299250</v>
      </c>
      <c r="E26" s="166"/>
      <c r="F26" s="166"/>
      <c r="G26" s="155"/>
      <c r="H26" s="156">
        <f t="shared" si="6"/>
        <v>299250</v>
      </c>
      <c r="I26" s="156">
        <f t="shared" si="7"/>
        <v>60110</v>
      </c>
      <c r="J26" s="156">
        <f>131410+47880+59850</f>
        <v>239140</v>
      </c>
      <c r="K26" s="152"/>
      <c r="M26" s="1"/>
    </row>
    <row r="27" spans="1:14" ht="22.5" customHeight="1" x14ac:dyDescent="0.35">
      <c r="A27" s="123">
        <v>5</v>
      </c>
      <c r="B27" s="114" t="s">
        <v>63</v>
      </c>
      <c r="C27" s="129">
        <v>0</v>
      </c>
      <c r="D27" s="117">
        <v>475000</v>
      </c>
      <c r="E27" s="117"/>
      <c r="F27" s="117"/>
      <c r="G27" s="117"/>
      <c r="H27" s="126">
        <f t="shared" si="6"/>
        <v>475000</v>
      </c>
      <c r="I27" s="126">
        <f t="shared" si="7"/>
        <v>0</v>
      </c>
      <c r="J27" s="126">
        <v>475000</v>
      </c>
      <c r="K27" s="116"/>
      <c r="M27" s="1"/>
    </row>
    <row r="28" spans="1:14" ht="22.5" customHeight="1" x14ac:dyDescent="0.35">
      <c r="A28" s="153">
        <v>6</v>
      </c>
      <c r="B28" s="148" t="s">
        <v>8</v>
      </c>
      <c r="C28" s="154">
        <v>0</v>
      </c>
      <c r="D28" s="155">
        <v>123500</v>
      </c>
      <c r="E28" s="155"/>
      <c r="F28" s="155"/>
      <c r="G28" s="155"/>
      <c r="H28" s="156">
        <f t="shared" si="6"/>
        <v>123500</v>
      </c>
      <c r="I28" s="156">
        <f t="shared" si="7"/>
        <v>101660</v>
      </c>
      <c r="J28" s="156">
        <v>21840</v>
      </c>
      <c r="K28" s="152"/>
      <c r="M28" s="1"/>
    </row>
    <row r="29" spans="1:14" ht="24" hidden="1" customHeight="1" x14ac:dyDescent="0.35">
      <c r="A29" s="123">
        <v>7</v>
      </c>
      <c r="B29" s="114" t="s">
        <v>9</v>
      </c>
      <c r="C29" s="129">
        <v>0</v>
      </c>
      <c r="D29" s="117"/>
      <c r="E29" s="117"/>
      <c r="F29" s="117"/>
      <c r="G29" s="117"/>
      <c r="H29" s="126">
        <f t="shared" si="6"/>
        <v>0</v>
      </c>
      <c r="I29" s="126">
        <f t="shared" si="7"/>
        <v>0</v>
      </c>
      <c r="J29" s="126">
        <v>0</v>
      </c>
      <c r="K29" s="116"/>
      <c r="M29" s="1"/>
    </row>
    <row r="30" spans="1:14" ht="43.5" hidden="1" customHeight="1" x14ac:dyDescent="0.35">
      <c r="A30" s="123">
        <v>8</v>
      </c>
      <c r="B30" s="122" t="s">
        <v>64</v>
      </c>
      <c r="C30" s="129">
        <v>0</v>
      </c>
      <c r="D30" s="130"/>
      <c r="E30" s="130"/>
      <c r="F30" s="130"/>
      <c r="G30" s="130"/>
      <c r="H30" s="131">
        <f t="shared" si="6"/>
        <v>0</v>
      </c>
      <c r="I30" s="131">
        <f t="shared" si="7"/>
        <v>0</v>
      </c>
      <c r="J30" s="131">
        <v>0</v>
      </c>
      <c r="K30" s="125"/>
      <c r="M30" s="1"/>
    </row>
    <row r="31" spans="1:14" ht="43.5" hidden="1" customHeight="1" x14ac:dyDescent="0.3">
      <c r="A31" s="123">
        <v>9</v>
      </c>
      <c r="B31" s="132" t="s">
        <v>65</v>
      </c>
      <c r="C31" s="129">
        <v>0</v>
      </c>
      <c r="D31" s="130"/>
      <c r="E31" s="130"/>
      <c r="F31" s="130"/>
      <c r="G31" s="130"/>
      <c r="H31" s="131">
        <f t="shared" si="6"/>
        <v>0</v>
      </c>
      <c r="I31" s="131">
        <f t="shared" si="7"/>
        <v>0</v>
      </c>
      <c r="J31" s="131">
        <v>0</v>
      </c>
      <c r="K31" s="125"/>
      <c r="M31" s="1"/>
    </row>
    <row r="32" spans="1:14" ht="22.5" hidden="1" customHeight="1" x14ac:dyDescent="0.35">
      <c r="A32" s="123">
        <v>10</v>
      </c>
      <c r="B32" s="114" t="s">
        <v>66</v>
      </c>
      <c r="C32" s="129">
        <v>0</v>
      </c>
      <c r="D32" s="115"/>
      <c r="E32" s="115"/>
      <c r="F32" s="117"/>
      <c r="G32" s="117"/>
      <c r="H32" s="126">
        <f t="shared" si="6"/>
        <v>0</v>
      </c>
      <c r="I32" s="126">
        <f t="shared" si="7"/>
        <v>0</v>
      </c>
      <c r="J32" s="126">
        <v>0</v>
      </c>
      <c r="K32" s="116"/>
      <c r="M32" s="1"/>
    </row>
    <row r="33" spans="1:13" ht="43.5" hidden="1" customHeight="1" x14ac:dyDescent="0.35">
      <c r="A33" s="123">
        <v>11</v>
      </c>
      <c r="B33" s="122" t="s">
        <v>67</v>
      </c>
      <c r="C33" s="129">
        <v>0</v>
      </c>
      <c r="D33" s="115"/>
      <c r="E33" s="115"/>
      <c r="F33" s="117"/>
      <c r="G33" s="117"/>
      <c r="H33" s="126">
        <f t="shared" si="6"/>
        <v>0</v>
      </c>
      <c r="I33" s="126">
        <f t="shared" si="7"/>
        <v>0</v>
      </c>
      <c r="J33" s="126">
        <v>0</v>
      </c>
      <c r="K33" s="116"/>
      <c r="M33" s="1"/>
    </row>
    <row r="34" spans="1:13" ht="21" x14ac:dyDescent="0.35">
      <c r="A34" s="36"/>
      <c r="B34" s="22" t="s">
        <v>10</v>
      </c>
      <c r="C34" s="23">
        <f>SUM(C23:C33)</f>
        <v>1161022</v>
      </c>
      <c r="D34" s="23">
        <f t="shared" ref="D34:J34" si="8">SUM(D23:D33)</f>
        <v>3176330</v>
      </c>
      <c r="E34" s="23">
        <f t="shared" si="8"/>
        <v>0</v>
      </c>
      <c r="F34" s="23">
        <f t="shared" si="8"/>
        <v>0</v>
      </c>
      <c r="G34" s="23">
        <f t="shared" si="8"/>
        <v>0</v>
      </c>
      <c r="H34" s="23">
        <f t="shared" si="8"/>
        <v>4337352</v>
      </c>
      <c r="I34" s="23">
        <f t="shared" si="8"/>
        <v>1725301.27</v>
      </c>
      <c r="J34" s="23">
        <f t="shared" si="8"/>
        <v>2612050.73</v>
      </c>
      <c r="K34" s="23"/>
      <c r="M34" s="1"/>
    </row>
    <row r="35" spans="1:13" ht="21" x14ac:dyDescent="0.3">
      <c r="A35" s="178" t="s">
        <v>0</v>
      </c>
      <c r="B35" s="179" t="s">
        <v>15</v>
      </c>
      <c r="C35" s="14" t="s">
        <v>1</v>
      </c>
      <c r="D35" s="14" t="s">
        <v>27</v>
      </c>
      <c r="E35" s="14" t="s">
        <v>27</v>
      </c>
      <c r="F35" s="14" t="s">
        <v>27</v>
      </c>
      <c r="G35" s="14" t="s">
        <v>27</v>
      </c>
      <c r="H35" s="14" t="s">
        <v>11</v>
      </c>
      <c r="I35" s="15" t="s">
        <v>2</v>
      </c>
      <c r="J35" s="181" t="s">
        <v>4</v>
      </c>
      <c r="K35" s="179" t="s">
        <v>5</v>
      </c>
      <c r="M35" s="1"/>
    </row>
    <row r="36" spans="1:13" ht="21" x14ac:dyDescent="0.3">
      <c r="A36" s="178"/>
      <c r="B36" s="180"/>
      <c r="C36" s="14" t="s">
        <v>119</v>
      </c>
      <c r="D36" s="14" t="s">
        <v>120</v>
      </c>
      <c r="E36" s="14" t="s">
        <v>121</v>
      </c>
      <c r="F36" s="14" t="s">
        <v>122</v>
      </c>
      <c r="G36" s="14" t="s">
        <v>123</v>
      </c>
      <c r="H36" s="14" t="s">
        <v>27</v>
      </c>
      <c r="I36" s="15" t="s">
        <v>3</v>
      </c>
      <c r="J36" s="182"/>
      <c r="K36" s="180"/>
      <c r="M36" s="1"/>
    </row>
    <row r="37" spans="1:13" ht="21.75" customHeight="1" x14ac:dyDescent="0.3">
      <c r="A37" s="7"/>
      <c r="B37" s="101" t="s">
        <v>21</v>
      </c>
      <c r="C37" s="7"/>
      <c r="D37" s="7"/>
      <c r="E37" s="7"/>
      <c r="F37" s="7"/>
      <c r="G37" s="7"/>
      <c r="H37" s="7"/>
      <c r="I37" s="32"/>
      <c r="J37" s="33"/>
      <c r="K37" s="12"/>
      <c r="M37" s="1"/>
    </row>
    <row r="38" spans="1:13" ht="43.5" customHeight="1" x14ac:dyDescent="0.35">
      <c r="A38" s="147">
        <v>1</v>
      </c>
      <c r="B38" s="173" t="s">
        <v>130</v>
      </c>
      <c r="C38" s="159">
        <v>0</v>
      </c>
      <c r="D38" s="159">
        <v>198720</v>
      </c>
      <c r="E38" s="157"/>
      <c r="F38" s="157"/>
      <c r="G38" s="157"/>
      <c r="H38" s="174">
        <f>SUM(C38:G38)</f>
        <v>198720</v>
      </c>
      <c r="I38" s="174">
        <f t="shared" ref="I38:I47" si="9">H38-J38</f>
        <v>99360</v>
      </c>
      <c r="J38" s="154">
        <v>99360</v>
      </c>
      <c r="K38" s="175"/>
    </row>
    <row r="39" spans="1:13" ht="42.75" customHeight="1" x14ac:dyDescent="0.3">
      <c r="A39" s="153">
        <v>2</v>
      </c>
      <c r="B39" s="176" t="s">
        <v>129</v>
      </c>
      <c r="C39" s="159">
        <v>0</v>
      </c>
      <c r="D39" s="174">
        <v>117600</v>
      </c>
      <c r="E39" s="177"/>
      <c r="F39" s="177"/>
      <c r="G39" s="177"/>
      <c r="H39" s="174">
        <f>SUM(C39:G39)</f>
        <v>117600</v>
      </c>
      <c r="I39" s="174">
        <f t="shared" si="9"/>
        <v>19600</v>
      </c>
      <c r="J39" s="154">
        <v>98000</v>
      </c>
      <c r="K39" s="175"/>
    </row>
    <row r="40" spans="1:13" ht="46.5" customHeight="1" x14ac:dyDescent="0.3">
      <c r="A40" s="113">
        <v>3</v>
      </c>
      <c r="B40" s="134" t="s">
        <v>138</v>
      </c>
      <c r="C40" s="131">
        <v>0</v>
      </c>
      <c r="D40" s="131">
        <v>10000</v>
      </c>
      <c r="E40" s="130"/>
      <c r="F40" s="130"/>
      <c r="G40" s="130"/>
      <c r="H40" s="133">
        <f>SUM(C40:G40)</f>
        <v>10000</v>
      </c>
      <c r="I40" s="133">
        <f t="shared" si="9"/>
        <v>0</v>
      </c>
      <c r="J40" s="131">
        <v>10000</v>
      </c>
      <c r="K40" s="135"/>
    </row>
    <row r="41" spans="1:13" ht="60.75" hidden="1" customHeight="1" x14ac:dyDescent="0.35">
      <c r="A41" s="113">
        <v>4</v>
      </c>
      <c r="B41" s="136" t="s">
        <v>68</v>
      </c>
      <c r="C41" s="131">
        <v>0</v>
      </c>
      <c r="D41" s="133"/>
      <c r="E41" s="124"/>
      <c r="F41" s="124"/>
      <c r="G41" s="124"/>
      <c r="H41" s="133">
        <f>SUM(C41:G41)</f>
        <v>0</v>
      </c>
      <c r="I41" s="133">
        <f t="shared" si="9"/>
        <v>0</v>
      </c>
      <c r="J41" s="133">
        <v>0</v>
      </c>
      <c r="K41" s="128">
        <f>5000+14880</f>
        <v>19880</v>
      </c>
    </row>
    <row r="42" spans="1:13" ht="40.5" hidden="1" customHeight="1" x14ac:dyDescent="0.35">
      <c r="A42" s="123">
        <v>5</v>
      </c>
      <c r="B42" s="136" t="s">
        <v>69</v>
      </c>
      <c r="C42" s="131">
        <v>0</v>
      </c>
      <c r="D42" s="133"/>
      <c r="E42" s="124"/>
      <c r="F42" s="128"/>
      <c r="G42" s="124"/>
      <c r="H42" s="133">
        <f>SUM(C42:G42)</f>
        <v>0</v>
      </c>
      <c r="I42" s="133">
        <f t="shared" si="9"/>
        <v>0</v>
      </c>
      <c r="J42" s="133">
        <v>0</v>
      </c>
      <c r="K42" s="125"/>
    </row>
    <row r="43" spans="1:13" ht="39.75" hidden="1" customHeight="1" x14ac:dyDescent="0.35">
      <c r="A43" s="113">
        <v>6</v>
      </c>
      <c r="B43" s="137" t="s">
        <v>50</v>
      </c>
      <c r="C43" s="131">
        <v>0</v>
      </c>
      <c r="D43" s="128"/>
      <c r="E43" s="124"/>
      <c r="F43" s="124"/>
      <c r="G43" s="124"/>
      <c r="H43" s="133">
        <f t="shared" ref="H43:H47" si="10">SUM(C43:G43)</f>
        <v>0</v>
      </c>
      <c r="I43" s="133">
        <f t="shared" si="9"/>
        <v>0</v>
      </c>
      <c r="J43" s="138">
        <v>0</v>
      </c>
      <c r="K43" s="139"/>
    </row>
    <row r="44" spans="1:13" ht="40.5" hidden="1" customHeight="1" x14ac:dyDescent="0.3">
      <c r="A44" s="113">
        <v>7</v>
      </c>
      <c r="B44" s="140" t="s">
        <v>73</v>
      </c>
      <c r="C44" s="131">
        <v>0</v>
      </c>
      <c r="D44" s="128"/>
      <c r="E44" s="124"/>
      <c r="F44" s="123"/>
      <c r="G44" s="123"/>
      <c r="H44" s="133">
        <f t="shared" si="10"/>
        <v>0</v>
      </c>
      <c r="I44" s="133">
        <f t="shared" si="9"/>
        <v>0</v>
      </c>
      <c r="J44" s="138">
        <v>0</v>
      </c>
      <c r="K44" s="125"/>
    </row>
    <row r="45" spans="1:13" s="93" customFormat="1" ht="41.25" hidden="1" customHeight="1" x14ac:dyDescent="0.3">
      <c r="A45" s="141">
        <v>8</v>
      </c>
      <c r="B45" s="140" t="s">
        <v>70</v>
      </c>
      <c r="C45" s="131">
        <v>0</v>
      </c>
      <c r="D45" s="142"/>
      <c r="E45" s="143"/>
      <c r="F45" s="144"/>
      <c r="G45" s="144"/>
      <c r="H45" s="133">
        <f t="shared" si="10"/>
        <v>0</v>
      </c>
      <c r="I45" s="133">
        <f t="shared" si="9"/>
        <v>0</v>
      </c>
      <c r="J45" s="145">
        <v>0</v>
      </c>
      <c r="K45" s="139"/>
      <c r="L45" s="92"/>
    </row>
    <row r="46" spans="1:13" ht="41.25" hidden="1" customHeight="1" x14ac:dyDescent="0.3">
      <c r="A46" s="123">
        <v>9</v>
      </c>
      <c r="B46" s="140" t="s">
        <v>71</v>
      </c>
      <c r="C46" s="131">
        <v>0</v>
      </c>
      <c r="D46" s="128"/>
      <c r="E46" s="128"/>
      <c r="F46" s="124"/>
      <c r="G46" s="124"/>
      <c r="H46" s="133">
        <f t="shared" si="10"/>
        <v>0</v>
      </c>
      <c r="I46" s="133">
        <f t="shared" si="9"/>
        <v>0</v>
      </c>
      <c r="J46" s="133">
        <v>0</v>
      </c>
      <c r="K46" s="146"/>
    </row>
    <row r="47" spans="1:13" ht="21.75" hidden="1" customHeight="1" x14ac:dyDescent="0.3">
      <c r="A47" s="123">
        <v>10</v>
      </c>
      <c r="B47" s="134" t="s">
        <v>74</v>
      </c>
      <c r="C47" s="131">
        <v>0</v>
      </c>
      <c r="D47" s="128"/>
      <c r="E47" s="128"/>
      <c r="F47" s="124"/>
      <c r="G47" s="124"/>
      <c r="H47" s="133">
        <f t="shared" si="10"/>
        <v>0</v>
      </c>
      <c r="I47" s="133">
        <f t="shared" si="9"/>
        <v>0</v>
      </c>
      <c r="J47" s="133">
        <v>0</v>
      </c>
      <c r="K47" s="146"/>
    </row>
    <row r="48" spans="1:13" ht="44.25" hidden="1" customHeight="1" x14ac:dyDescent="0.3">
      <c r="A48" s="123">
        <v>11</v>
      </c>
      <c r="B48" s="134" t="s">
        <v>75</v>
      </c>
      <c r="C48" s="131">
        <v>0</v>
      </c>
      <c r="D48" s="128"/>
      <c r="E48" s="128"/>
      <c r="F48" s="124"/>
      <c r="G48" s="124"/>
      <c r="H48" s="133">
        <f>SUM(C48:G48)</f>
        <v>0</v>
      </c>
      <c r="I48" s="133">
        <f>H48-J48</f>
        <v>0</v>
      </c>
      <c r="J48" s="133">
        <v>0</v>
      </c>
      <c r="K48" s="146"/>
    </row>
    <row r="49" spans="1:11" ht="44.25" customHeight="1" x14ac:dyDescent="0.3">
      <c r="A49" s="123">
        <v>12</v>
      </c>
      <c r="B49" s="134" t="s">
        <v>108</v>
      </c>
      <c r="C49" s="131">
        <v>11675</v>
      </c>
      <c r="D49" s="128"/>
      <c r="E49" s="128"/>
      <c r="F49" s="124"/>
      <c r="G49" s="124"/>
      <c r="H49" s="133">
        <f>SUM(C49:G49)</f>
        <v>11675</v>
      </c>
      <c r="I49" s="133">
        <f>H49-J49</f>
        <v>0</v>
      </c>
      <c r="J49" s="133">
        <v>11675</v>
      </c>
      <c r="K49" s="146"/>
    </row>
    <row r="50" spans="1:11" ht="63.75" hidden="1" customHeight="1" x14ac:dyDescent="0.3">
      <c r="A50" s="123">
        <v>13</v>
      </c>
      <c r="B50" s="134" t="s">
        <v>109</v>
      </c>
      <c r="C50" s="131">
        <v>0</v>
      </c>
      <c r="D50" s="128"/>
      <c r="E50" s="128"/>
      <c r="F50" s="124"/>
      <c r="G50" s="124"/>
      <c r="H50" s="133">
        <f>SUM(C50:G50)</f>
        <v>0</v>
      </c>
      <c r="I50" s="133">
        <f>H50-J50</f>
        <v>0</v>
      </c>
      <c r="J50" s="133">
        <v>0</v>
      </c>
      <c r="K50" s="146"/>
    </row>
    <row r="51" spans="1:11" ht="23.25" customHeight="1" x14ac:dyDescent="0.35">
      <c r="A51" s="37"/>
      <c r="B51" s="27" t="s">
        <v>28</v>
      </c>
      <c r="C51" s="28">
        <f>SUM(C38:C50)</f>
        <v>11675</v>
      </c>
      <c r="D51" s="28">
        <f t="shared" ref="D51:J51" si="11">SUM(D38:D50)</f>
        <v>326320</v>
      </c>
      <c r="E51" s="28">
        <f t="shared" si="11"/>
        <v>0</v>
      </c>
      <c r="F51" s="28">
        <f t="shared" si="11"/>
        <v>0</v>
      </c>
      <c r="G51" s="28">
        <f t="shared" si="11"/>
        <v>0</v>
      </c>
      <c r="H51" s="28">
        <f t="shared" si="11"/>
        <v>337995</v>
      </c>
      <c r="I51" s="28">
        <f t="shared" si="11"/>
        <v>118960</v>
      </c>
      <c r="J51" s="28">
        <f t="shared" si="11"/>
        <v>219035</v>
      </c>
      <c r="K51" s="28"/>
    </row>
    <row r="52" spans="1:11" ht="21" x14ac:dyDescent="0.35">
      <c r="A52" s="46"/>
      <c r="B52" s="47" t="s">
        <v>29</v>
      </c>
      <c r="C52" s="10"/>
      <c r="D52" s="102"/>
      <c r="E52" s="102"/>
      <c r="F52" s="102"/>
      <c r="G52" s="102"/>
      <c r="H52" s="102"/>
      <c r="I52" s="102"/>
      <c r="J52" s="102"/>
      <c r="K52" s="103"/>
    </row>
    <row r="53" spans="1:11" ht="21" x14ac:dyDescent="0.35">
      <c r="A53" s="46">
        <v>1</v>
      </c>
      <c r="B53" s="100" t="s">
        <v>62</v>
      </c>
      <c r="C53" s="10">
        <v>211183.25</v>
      </c>
      <c r="D53" s="102"/>
      <c r="E53" s="102"/>
      <c r="F53" s="102"/>
      <c r="G53" s="102"/>
      <c r="H53" s="102"/>
      <c r="I53" s="102">
        <f>19200+88700+385600+45780+498000+50000+48700+14910+156000+2700+38200</f>
        <v>1347790</v>
      </c>
      <c r="J53" s="102"/>
      <c r="K53" s="103"/>
    </row>
    <row r="54" spans="1:11" ht="42" x14ac:dyDescent="0.35">
      <c r="A54" s="46">
        <v>2</v>
      </c>
      <c r="B54" s="100" t="s">
        <v>72</v>
      </c>
      <c r="C54" s="10"/>
      <c r="D54" s="102"/>
      <c r="E54" s="102"/>
      <c r="F54" s="102"/>
      <c r="G54" s="102"/>
      <c r="H54" s="102"/>
      <c r="I54" s="102">
        <f>88700+14910</f>
        <v>103610</v>
      </c>
      <c r="J54" s="102"/>
      <c r="K54" s="103"/>
    </row>
    <row r="55" spans="1:11" ht="21" x14ac:dyDescent="0.35">
      <c r="A55" s="38"/>
      <c r="B55" s="29" t="s">
        <v>16</v>
      </c>
      <c r="C55" s="31">
        <f t="shared" ref="C55:J55" si="12">C8+C15+C18+C21+C34+C51</f>
        <v>1172697</v>
      </c>
      <c r="D55" s="31">
        <f t="shared" si="12"/>
        <v>9094780</v>
      </c>
      <c r="E55" s="31">
        <f t="shared" si="12"/>
        <v>0</v>
      </c>
      <c r="F55" s="31">
        <f t="shared" si="12"/>
        <v>0</v>
      </c>
      <c r="G55" s="31">
        <f t="shared" si="12"/>
        <v>0</v>
      </c>
      <c r="H55" s="31">
        <f t="shared" si="12"/>
        <v>10267477</v>
      </c>
      <c r="I55" s="31">
        <f t="shared" si="12"/>
        <v>3004640.21</v>
      </c>
      <c r="J55" s="31">
        <f t="shared" si="12"/>
        <v>7262836.790000001</v>
      </c>
      <c r="K55" s="43"/>
    </row>
    <row r="57" spans="1:11" x14ac:dyDescent="0.3">
      <c r="B57" t="s">
        <v>12</v>
      </c>
      <c r="C57" t="s">
        <v>13</v>
      </c>
      <c r="G57" t="s">
        <v>14</v>
      </c>
    </row>
    <row r="59" spans="1:11" x14ac:dyDescent="0.3">
      <c r="B59" s="2"/>
      <c r="H59" s="2"/>
    </row>
    <row r="60" spans="1:11" x14ac:dyDescent="0.3">
      <c r="D60" s="2"/>
    </row>
  </sheetData>
  <mergeCells count="9">
    <mergeCell ref="A35:A36"/>
    <mergeCell ref="B35:B36"/>
    <mergeCell ref="J35:J36"/>
    <mergeCell ref="K35:K36"/>
    <mergeCell ref="A1:K1"/>
    <mergeCell ref="A3:A4"/>
    <mergeCell ref="B3:B4"/>
    <mergeCell ref="J3:J4"/>
    <mergeCell ref="K3:K4"/>
  </mergeCells>
  <phoneticPr fontId="15" type="noConversion"/>
  <printOptions horizontalCentered="1"/>
  <pageMargins left="0.23622047244094491" right="0.23622047244094491" top="0.19685039370078741" bottom="0.19685039370078741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22EC0-74C2-4CE6-9236-CECE7F526809}">
  <dimension ref="A1:I190"/>
  <sheetViews>
    <sheetView tabSelected="1" workbookViewId="0">
      <selection activeCell="C8" sqref="C8"/>
    </sheetView>
  </sheetViews>
  <sheetFormatPr defaultRowHeight="21" customHeight="1" x14ac:dyDescent="0.35"/>
  <cols>
    <col min="1" max="1" width="10.75" style="50" customWidth="1"/>
    <col min="2" max="2" width="10.875" style="55" customWidth="1"/>
    <col min="3" max="3" width="40.25" style="65" customWidth="1"/>
    <col min="4" max="8" width="12.75" style="54" customWidth="1"/>
    <col min="9" max="9" width="12.75" style="50" customWidth="1"/>
    <col min="10" max="16384" width="9" style="50"/>
  </cols>
  <sheetData>
    <row r="1" spans="1:9" ht="21" customHeight="1" x14ac:dyDescent="0.35">
      <c r="A1" s="184" t="s">
        <v>44</v>
      </c>
      <c r="B1" s="184"/>
      <c r="C1" s="184"/>
      <c r="D1" s="184"/>
      <c r="E1" s="184"/>
      <c r="F1" s="184"/>
      <c r="G1" s="184"/>
      <c r="H1" s="184"/>
      <c r="I1" s="184"/>
    </row>
    <row r="2" spans="1:9" ht="40.5" customHeight="1" x14ac:dyDescent="0.35">
      <c r="A2" s="51" t="s">
        <v>31</v>
      </c>
      <c r="B2" s="51" t="s">
        <v>35</v>
      </c>
      <c r="C2" s="62" t="s">
        <v>32</v>
      </c>
      <c r="D2" s="52" t="s">
        <v>36</v>
      </c>
      <c r="E2" s="52" t="s">
        <v>41</v>
      </c>
      <c r="F2" s="52" t="s">
        <v>42</v>
      </c>
      <c r="G2" s="52" t="s">
        <v>34</v>
      </c>
      <c r="H2" s="52" t="s">
        <v>43</v>
      </c>
      <c r="I2" s="51" t="s">
        <v>5</v>
      </c>
    </row>
    <row r="3" spans="1:9" ht="24.75" customHeight="1" x14ac:dyDescent="0.35">
      <c r="A3" s="49"/>
      <c r="B3" s="9"/>
      <c r="C3" s="63"/>
      <c r="D3" s="53"/>
      <c r="E3" s="53"/>
      <c r="F3" s="53"/>
      <c r="G3" s="53"/>
      <c r="H3" s="53"/>
      <c r="I3" s="8"/>
    </row>
    <row r="4" spans="1:9" ht="24.75" customHeight="1" x14ac:dyDescent="0.35">
      <c r="A4" s="49"/>
      <c r="B4" s="9"/>
      <c r="C4" s="42"/>
      <c r="D4" s="53"/>
      <c r="E4" s="53"/>
      <c r="F4" s="53"/>
      <c r="G4" s="53"/>
      <c r="H4" s="53"/>
      <c r="I4" s="8"/>
    </row>
    <row r="5" spans="1:9" ht="24.75" customHeight="1" x14ac:dyDescent="0.35">
      <c r="A5" s="48"/>
      <c r="B5" s="9"/>
      <c r="C5" s="42"/>
      <c r="D5" s="53"/>
      <c r="E5" s="53"/>
      <c r="F5" s="53"/>
      <c r="G5" s="53"/>
      <c r="H5" s="53"/>
      <c r="I5" s="8"/>
    </row>
    <row r="6" spans="1:9" ht="24.75" customHeight="1" x14ac:dyDescent="0.35">
      <c r="A6" s="48"/>
      <c r="B6" s="9"/>
      <c r="C6" s="61"/>
      <c r="D6" s="53"/>
      <c r="E6" s="53"/>
      <c r="F6" s="53"/>
      <c r="G6" s="53"/>
      <c r="H6" s="53"/>
      <c r="I6" s="8"/>
    </row>
    <row r="7" spans="1:9" ht="24.75" customHeight="1" x14ac:dyDescent="0.35">
      <c r="A7" s="48"/>
      <c r="B7" s="60"/>
      <c r="C7" s="42"/>
      <c r="D7" s="53"/>
      <c r="E7" s="53"/>
      <c r="F7" s="53"/>
      <c r="G7" s="53"/>
      <c r="H7" s="53"/>
      <c r="I7" s="8"/>
    </row>
    <row r="8" spans="1:9" ht="24.75" customHeight="1" x14ac:dyDescent="0.35">
      <c r="A8" s="48"/>
      <c r="B8" s="9"/>
      <c r="C8" s="42"/>
      <c r="D8" s="53"/>
      <c r="E8" s="53"/>
      <c r="F8" s="53"/>
      <c r="G8" s="53"/>
      <c r="H8" s="53"/>
      <c r="I8" s="8"/>
    </row>
    <row r="9" spans="1:9" ht="24.75" customHeight="1" x14ac:dyDescent="0.35">
      <c r="A9" s="48"/>
      <c r="B9" s="60"/>
      <c r="C9" s="42"/>
      <c r="D9" s="53"/>
      <c r="E9" s="53"/>
      <c r="F9" s="53"/>
      <c r="G9" s="53"/>
      <c r="H9" s="53"/>
      <c r="I9" s="8"/>
    </row>
    <row r="10" spans="1:9" ht="24.75" customHeight="1" x14ac:dyDescent="0.35">
      <c r="A10" s="48"/>
      <c r="B10" s="9"/>
      <c r="C10" s="42"/>
      <c r="D10" s="53"/>
      <c r="E10" s="53"/>
      <c r="F10" s="53"/>
      <c r="G10" s="53"/>
      <c r="H10" s="53"/>
      <c r="I10" s="8"/>
    </row>
    <row r="11" spans="1:9" ht="24.75" customHeight="1" x14ac:dyDescent="0.35">
      <c r="A11" s="48"/>
      <c r="B11" s="9"/>
      <c r="C11" s="42"/>
      <c r="D11" s="53"/>
      <c r="E11" s="53"/>
      <c r="F11" s="53"/>
      <c r="G11" s="53"/>
      <c r="H11" s="53"/>
      <c r="I11" s="8"/>
    </row>
    <row r="12" spans="1:9" ht="24.75" customHeight="1" x14ac:dyDescent="0.35">
      <c r="A12" s="48"/>
      <c r="B12" s="9"/>
      <c r="C12" s="42"/>
      <c r="D12" s="53"/>
      <c r="E12" s="53"/>
      <c r="F12" s="53"/>
      <c r="G12" s="53"/>
      <c r="H12" s="53"/>
      <c r="I12" s="8"/>
    </row>
    <row r="13" spans="1:9" ht="24.75" customHeight="1" x14ac:dyDescent="0.35">
      <c r="A13" s="48"/>
      <c r="B13" s="9"/>
      <c r="C13" s="42"/>
      <c r="D13" s="53"/>
      <c r="E13" s="53"/>
      <c r="F13" s="53"/>
      <c r="G13" s="53"/>
      <c r="H13" s="53"/>
      <c r="I13" s="8"/>
    </row>
    <row r="14" spans="1:9" ht="24.75" customHeight="1" x14ac:dyDescent="0.35">
      <c r="A14" s="48"/>
      <c r="B14" s="9"/>
      <c r="C14" s="42"/>
      <c r="D14" s="53"/>
      <c r="E14" s="53"/>
      <c r="F14" s="53"/>
      <c r="G14" s="53"/>
      <c r="H14" s="53"/>
      <c r="I14" s="8"/>
    </row>
    <row r="15" spans="1:9" ht="24.75" customHeight="1" x14ac:dyDescent="0.35">
      <c r="A15" s="48"/>
      <c r="B15" s="9"/>
      <c r="C15" s="61"/>
      <c r="D15" s="53"/>
      <c r="E15" s="53"/>
      <c r="F15" s="53"/>
      <c r="G15" s="53"/>
      <c r="H15" s="53"/>
      <c r="I15" s="8"/>
    </row>
    <row r="16" spans="1:9" ht="24.75" customHeight="1" x14ac:dyDescent="0.35">
      <c r="A16" s="48"/>
      <c r="B16" s="9"/>
      <c r="C16" s="42"/>
      <c r="D16" s="53"/>
      <c r="E16" s="53"/>
      <c r="F16" s="53"/>
      <c r="G16" s="53"/>
      <c r="H16" s="53"/>
      <c r="I16" s="8"/>
    </row>
    <row r="17" spans="1:9" ht="24.75" customHeight="1" x14ac:dyDescent="0.35">
      <c r="A17" s="48"/>
      <c r="B17" s="9"/>
      <c r="C17" s="42"/>
      <c r="D17" s="53"/>
      <c r="E17" s="53"/>
      <c r="F17" s="53"/>
      <c r="G17" s="53"/>
      <c r="H17" s="53"/>
      <c r="I17" s="8"/>
    </row>
    <row r="18" spans="1:9" ht="24.75" customHeight="1" x14ac:dyDescent="0.35">
      <c r="A18" s="48"/>
      <c r="B18" s="9"/>
      <c r="C18" s="61"/>
      <c r="D18" s="53"/>
      <c r="E18" s="53"/>
      <c r="F18" s="53"/>
      <c r="G18" s="53"/>
      <c r="H18" s="53"/>
      <c r="I18" s="8"/>
    </row>
    <row r="19" spans="1:9" ht="24.75" customHeight="1" x14ac:dyDescent="0.35">
      <c r="A19" s="48"/>
      <c r="B19" s="9"/>
      <c r="C19" s="61"/>
      <c r="D19" s="53"/>
      <c r="E19" s="53"/>
      <c r="F19" s="53"/>
      <c r="G19" s="53"/>
      <c r="H19" s="53"/>
      <c r="I19" s="8"/>
    </row>
    <row r="20" spans="1:9" ht="24.75" customHeight="1" x14ac:dyDescent="0.35">
      <c r="A20" s="48"/>
      <c r="B20" s="9"/>
      <c r="C20" s="42"/>
      <c r="D20" s="53"/>
      <c r="E20" s="53"/>
      <c r="F20" s="53"/>
      <c r="G20" s="53"/>
      <c r="H20" s="53"/>
      <c r="I20" s="8"/>
    </row>
    <row r="21" spans="1:9" ht="24.75" customHeight="1" x14ac:dyDescent="0.35">
      <c r="A21" s="48"/>
      <c r="B21" s="9"/>
      <c r="C21" s="42"/>
      <c r="D21" s="53"/>
      <c r="E21" s="53"/>
      <c r="F21" s="53"/>
      <c r="G21" s="53"/>
      <c r="H21" s="53"/>
      <c r="I21" s="8"/>
    </row>
    <row r="22" spans="1:9" ht="24.75" customHeight="1" x14ac:dyDescent="0.35">
      <c r="A22" s="48"/>
      <c r="B22" s="9"/>
      <c r="C22" s="42"/>
      <c r="D22" s="53"/>
      <c r="E22" s="53"/>
      <c r="F22" s="53"/>
      <c r="G22" s="53"/>
      <c r="H22" s="53"/>
      <c r="I22" s="8"/>
    </row>
    <row r="23" spans="1:9" ht="24.75" customHeight="1" x14ac:dyDescent="0.35">
      <c r="A23" s="48"/>
      <c r="B23" s="9"/>
      <c r="C23" s="42"/>
      <c r="D23" s="53"/>
      <c r="E23" s="53"/>
      <c r="F23" s="53"/>
      <c r="G23" s="53"/>
      <c r="H23" s="53"/>
      <c r="I23" s="8"/>
    </row>
    <row r="24" spans="1:9" ht="24.75" customHeight="1" x14ac:dyDescent="0.35">
      <c r="A24" s="48"/>
      <c r="B24" s="9"/>
      <c r="C24" s="42"/>
      <c r="D24" s="53"/>
      <c r="E24" s="53"/>
      <c r="F24" s="53"/>
      <c r="G24" s="53"/>
      <c r="H24" s="53"/>
      <c r="I24" s="8"/>
    </row>
    <row r="25" spans="1:9" ht="24.75" customHeight="1" x14ac:dyDescent="0.35">
      <c r="A25" s="48"/>
      <c r="B25" s="9"/>
      <c r="C25" s="42"/>
      <c r="D25" s="53"/>
      <c r="E25" s="53"/>
      <c r="F25" s="53"/>
      <c r="G25" s="53"/>
      <c r="H25" s="53"/>
      <c r="I25" s="8"/>
    </row>
    <row r="26" spans="1:9" ht="24.75" customHeight="1" x14ac:dyDescent="0.35">
      <c r="A26" s="48"/>
      <c r="B26" s="9"/>
      <c r="C26" s="61"/>
      <c r="D26" s="53"/>
      <c r="E26" s="53"/>
      <c r="F26" s="53"/>
      <c r="G26" s="53"/>
      <c r="H26" s="53"/>
      <c r="I26" s="8"/>
    </row>
    <row r="27" spans="1:9" ht="24.75" customHeight="1" x14ac:dyDescent="0.35">
      <c r="A27" s="48"/>
      <c r="B27" s="9"/>
      <c r="C27" s="42"/>
      <c r="D27" s="53"/>
      <c r="E27" s="53"/>
      <c r="F27" s="53"/>
      <c r="G27" s="53"/>
      <c r="H27" s="53"/>
      <c r="I27" s="8"/>
    </row>
    <row r="28" spans="1:9" ht="24.75" customHeight="1" x14ac:dyDescent="0.35">
      <c r="A28" s="48"/>
      <c r="B28" s="9"/>
      <c r="C28" s="61"/>
      <c r="D28" s="53"/>
      <c r="E28" s="53"/>
      <c r="F28" s="53"/>
      <c r="G28" s="53"/>
      <c r="H28" s="53"/>
      <c r="I28" s="8"/>
    </row>
    <row r="29" spans="1:9" ht="24.75" customHeight="1" x14ac:dyDescent="0.35">
      <c r="A29" s="48"/>
      <c r="B29" s="9"/>
      <c r="C29" s="61"/>
      <c r="D29" s="53"/>
      <c r="E29" s="53"/>
      <c r="F29" s="53"/>
      <c r="G29" s="53"/>
      <c r="H29" s="53"/>
      <c r="I29" s="8"/>
    </row>
    <row r="30" spans="1:9" ht="24.75" customHeight="1" x14ac:dyDescent="0.35">
      <c r="A30" s="48"/>
      <c r="B30" s="9"/>
      <c r="C30" s="42"/>
      <c r="D30" s="53"/>
      <c r="E30" s="53"/>
      <c r="F30" s="53"/>
      <c r="G30" s="53"/>
      <c r="H30" s="53"/>
      <c r="I30" s="8"/>
    </row>
    <row r="31" spans="1:9" ht="24.75" customHeight="1" x14ac:dyDescent="0.35">
      <c r="A31" s="48"/>
      <c r="B31" s="9"/>
      <c r="C31" s="42"/>
      <c r="D31" s="53"/>
      <c r="E31" s="53"/>
      <c r="F31" s="53"/>
      <c r="G31" s="53"/>
      <c r="H31" s="53"/>
      <c r="I31" s="8"/>
    </row>
    <row r="32" spans="1:9" ht="24.75" customHeight="1" x14ac:dyDescent="0.35">
      <c r="A32" s="48"/>
      <c r="B32" s="9"/>
      <c r="C32" s="61"/>
      <c r="D32" s="53"/>
      <c r="E32" s="53"/>
      <c r="F32" s="53"/>
      <c r="G32" s="53"/>
      <c r="H32" s="53"/>
      <c r="I32" s="8"/>
    </row>
    <row r="33" spans="1:9" ht="24.75" customHeight="1" x14ac:dyDescent="0.35">
      <c r="A33" s="48"/>
      <c r="B33" s="9"/>
      <c r="C33" s="61"/>
      <c r="D33" s="53"/>
      <c r="E33" s="53"/>
      <c r="F33" s="53"/>
      <c r="G33" s="53"/>
      <c r="H33" s="53"/>
      <c r="I33" s="8"/>
    </row>
    <row r="34" spans="1:9" ht="24.75" customHeight="1" x14ac:dyDescent="0.35">
      <c r="A34" s="48"/>
      <c r="B34" s="9"/>
      <c r="C34" s="61"/>
      <c r="D34" s="53"/>
      <c r="E34" s="53"/>
      <c r="F34" s="53"/>
      <c r="G34" s="53"/>
      <c r="H34" s="53"/>
      <c r="I34" s="8"/>
    </row>
    <row r="35" spans="1:9" ht="24.75" customHeight="1" x14ac:dyDescent="0.35">
      <c r="A35" s="48"/>
      <c r="B35" s="9"/>
      <c r="C35" s="61"/>
      <c r="D35" s="53"/>
      <c r="E35" s="53"/>
      <c r="F35" s="53"/>
      <c r="G35" s="53"/>
      <c r="H35" s="53"/>
      <c r="I35" s="8"/>
    </row>
    <row r="36" spans="1:9" ht="24.75" customHeight="1" x14ac:dyDescent="0.35">
      <c r="A36" s="48"/>
      <c r="B36" s="9"/>
      <c r="C36" s="61"/>
      <c r="D36" s="53"/>
      <c r="E36" s="53"/>
      <c r="F36" s="53"/>
      <c r="G36" s="53"/>
      <c r="H36" s="53"/>
      <c r="I36" s="8"/>
    </row>
    <row r="37" spans="1:9" ht="24.75" customHeight="1" x14ac:dyDescent="0.35">
      <c r="A37" s="48"/>
      <c r="B37" s="9"/>
      <c r="C37" s="61"/>
      <c r="D37" s="53"/>
      <c r="E37" s="53"/>
      <c r="F37" s="53"/>
      <c r="G37" s="53"/>
      <c r="H37" s="53"/>
      <c r="I37" s="8"/>
    </row>
    <row r="38" spans="1:9" ht="24.75" customHeight="1" x14ac:dyDescent="0.35">
      <c r="A38" s="48"/>
      <c r="B38" s="9"/>
      <c r="C38" s="61"/>
      <c r="D38" s="53"/>
      <c r="E38" s="53"/>
      <c r="F38" s="53"/>
      <c r="G38" s="53"/>
      <c r="H38" s="53"/>
      <c r="I38" s="8"/>
    </row>
    <row r="39" spans="1:9" ht="24.75" customHeight="1" x14ac:dyDescent="0.35">
      <c r="A39" s="48"/>
      <c r="B39" s="9"/>
      <c r="C39" s="61"/>
      <c r="D39" s="53"/>
      <c r="E39" s="53"/>
      <c r="F39" s="53"/>
      <c r="G39" s="53"/>
      <c r="H39" s="53"/>
      <c r="I39" s="8"/>
    </row>
    <row r="40" spans="1:9" ht="24.75" customHeight="1" x14ac:dyDescent="0.35">
      <c r="A40" s="48"/>
      <c r="B40" s="9"/>
      <c r="C40" s="61"/>
      <c r="D40" s="53"/>
      <c r="E40" s="53"/>
      <c r="F40" s="53"/>
      <c r="G40" s="53"/>
      <c r="H40" s="53"/>
      <c r="I40" s="8"/>
    </row>
    <row r="41" spans="1:9" ht="24.75" customHeight="1" x14ac:dyDescent="0.35">
      <c r="A41" s="48"/>
      <c r="B41" s="9"/>
      <c r="C41" s="61"/>
      <c r="D41" s="53"/>
      <c r="E41" s="53"/>
      <c r="F41" s="53"/>
      <c r="G41" s="53"/>
      <c r="H41" s="53"/>
      <c r="I41" s="8"/>
    </row>
    <row r="42" spans="1:9" ht="24.75" customHeight="1" x14ac:dyDescent="0.35">
      <c r="A42" s="48"/>
      <c r="B42" s="9"/>
      <c r="C42" s="61"/>
      <c r="D42" s="53"/>
      <c r="E42" s="53"/>
      <c r="F42" s="53"/>
      <c r="G42" s="53"/>
      <c r="H42" s="53"/>
      <c r="I42" s="8"/>
    </row>
    <row r="43" spans="1:9" ht="24.75" customHeight="1" x14ac:dyDescent="0.35">
      <c r="A43" s="48"/>
      <c r="B43" s="9"/>
      <c r="C43" s="61"/>
      <c r="D43" s="53"/>
      <c r="E43" s="53"/>
      <c r="F43" s="53"/>
      <c r="G43" s="53"/>
      <c r="H43" s="53"/>
      <c r="I43" s="8"/>
    </row>
    <row r="44" spans="1:9" ht="24.75" customHeight="1" x14ac:dyDescent="0.35">
      <c r="A44" s="48"/>
      <c r="B44" s="9"/>
      <c r="C44" s="61"/>
      <c r="D44" s="53"/>
      <c r="E44" s="53"/>
      <c r="F44" s="53"/>
      <c r="G44" s="53"/>
      <c r="H44" s="53"/>
      <c r="I44" s="8"/>
    </row>
    <row r="45" spans="1:9" ht="24.75" customHeight="1" x14ac:dyDescent="0.35">
      <c r="A45" s="48"/>
      <c r="B45" s="9"/>
      <c r="C45" s="61"/>
      <c r="D45" s="53"/>
      <c r="E45" s="53"/>
      <c r="F45" s="53"/>
      <c r="G45" s="53"/>
      <c r="H45" s="53"/>
      <c r="I45" s="8"/>
    </row>
    <row r="46" spans="1:9" ht="24.75" customHeight="1" x14ac:dyDescent="0.35">
      <c r="A46" s="48"/>
      <c r="B46" s="9"/>
      <c r="C46" s="61"/>
      <c r="D46" s="53"/>
      <c r="E46" s="53"/>
      <c r="F46" s="53"/>
      <c r="G46" s="53"/>
      <c r="H46" s="53"/>
      <c r="I46" s="8"/>
    </row>
    <row r="47" spans="1:9" ht="24.75" customHeight="1" x14ac:dyDescent="0.35">
      <c r="A47" s="48"/>
      <c r="B47" s="9"/>
      <c r="C47" s="61"/>
      <c r="D47" s="53"/>
      <c r="E47" s="53"/>
      <c r="F47" s="53"/>
      <c r="G47" s="53"/>
      <c r="H47" s="53"/>
      <c r="I47" s="8"/>
    </row>
    <row r="48" spans="1:9" ht="24.75" customHeight="1" x14ac:dyDescent="0.35">
      <c r="A48" s="48"/>
      <c r="B48" s="9"/>
      <c r="C48" s="42"/>
      <c r="D48" s="53"/>
      <c r="E48" s="53"/>
      <c r="F48" s="53"/>
      <c r="G48" s="53"/>
      <c r="H48" s="53"/>
      <c r="I48" s="8"/>
    </row>
    <row r="49" spans="1:9" ht="24.75" customHeight="1" x14ac:dyDescent="0.35">
      <c r="A49" s="48"/>
      <c r="B49" s="9"/>
      <c r="C49" s="42"/>
      <c r="D49" s="53"/>
      <c r="E49" s="53"/>
      <c r="F49" s="53"/>
      <c r="G49" s="53"/>
      <c r="H49" s="53"/>
      <c r="I49" s="8"/>
    </row>
    <row r="50" spans="1:9" ht="24.75" customHeight="1" x14ac:dyDescent="0.35">
      <c r="A50" s="48"/>
      <c r="B50" s="9"/>
      <c r="C50" s="42"/>
      <c r="D50" s="53"/>
      <c r="E50" s="53"/>
      <c r="F50" s="53"/>
      <c r="G50" s="53"/>
      <c r="H50" s="53"/>
      <c r="I50" s="8"/>
    </row>
    <row r="51" spans="1:9" ht="24.75" customHeight="1" x14ac:dyDescent="0.35">
      <c r="A51" s="48"/>
      <c r="B51" s="9"/>
      <c r="C51" s="42"/>
      <c r="D51" s="53"/>
      <c r="E51" s="53"/>
      <c r="F51" s="53"/>
      <c r="G51" s="53"/>
      <c r="H51" s="53"/>
      <c r="I51" s="8"/>
    </row>
    <row r="52" spans="1:9" ht="24.75" customHeight="1" x14ac:dyDescent="0.35">
      <c r="A52" s="48"/>
      <c r="B52" s="9"/>
      <c r="C52" s="42"/>
      <c r="D52" s="53"/>
      <c r="E52" s="53"/>
      <c r="F52" s="53"/>
      <c r="G52" s="53"/>
      <c r="H52" s="53"/>
      <c r="I52" s="8"/>
    </row>
    <row r="53" spans="1:9" ht="24.75" customHeight="1" x14ac:dyDescent="0.35">
      <c r="A53" s="48"/>
      <c r="B53" s="9"/>
      <c r="C53" s="42"/>
      <c r="D53" s="53"/>
      <c r="E53" s="53"/>
      <c r="F53" s="53"/>
      <c r="G53" s="53"/>
      <c r="H53" s="53"/>
      <c r="I53" s="8"/>
    </row>
    <row r="54" spans="1:9" ht="24.75" customHeight="1" x14ac:dyDescent="0.35">
      <c r="A54" s="48"/>
      <c r="B54" s="9"/>
      <c r="C54" s="42"/>
      <c r="D54" s="53"/>
      <c r="E54" s="53"/>
      <c r="F54" s="53"/>
      <c r="G54" s="53"/>
      <c r="H54" s="53"/>
      <c r="I54" s="8"/>
    </row>
    <row r="55" spans="1:9" ht="24.75" customHeight="1" x14ac:dyDescent="0.35">
      <c r="A55" s="48"/>
      <c r="B55" s="9"/>
      <c r="C55" s="42"/>
      <c r="D55" s="53"/>
      <c r="E55" s="53"/>
      <c r="F55" s="53"/>
      <c r="G55" s="53"/>
      <c r="H55" s="53"/>
      <c r="I55" s="8"/>
    </row>
    <row r="56" spans="1:9" ht="24.75" customHeight="1" x14ac:dyDescent="0.35">
      <c r="A56" s="48"/>
      <c r="B56" s="9"/>
      <c r="C56" s="42"/>
      <c r="D56" s="53"/>
      <c r="E56" s="53"/>
      <c r="F56" s="53"/>
      <c r="G56" s="53"/>
      <c r="H56" s="53"/>
      <c r="I56" s="8"/>
    </row>
    <row r="57" spans="1:9" ht="24.75" customHeight="1" x14ac:dyDescent="0.35">
      <c r="A57" s="48"/>
      <c r="B57" s="9"/>
      <c r="C57" s="42"/>
      <c r="D57" s="53"/>
      <c r="E57" s="53"/>
      <c r="F57" s="53"/>
      <c r="G57" s="53"/>
      <c r="H57" s="53"/>
      <c r="I57" s="8"/>
    </row>
    <row r="58" spans="1:9" ht="24.75" customHeight="1" x14ac:dyDescent="0.35">
      <c r="A58" s="48"/>
      <c r="B58" s="9"/>
      <c r="C58" s="42"/>
      <c r="D58" s="53"/>
      <c r="E58" s="53"/>
      <c r="F58" s="53"/>
      <c r="G58" s="53"/>
      <c r="H58" s="53"/>
      <c r="I58" s="8"/>
    </row>
    <row r="59" spans="1:9" ht="24.75" customHeight="1" x14ac:dyDescent="0.35">
      <c r="A59" s="8"/>
      <c r="B59" s="9"/>
      <c r="C59" s="61"/>
      <c r="D59" s="53"/>
      <c r="E59" s="53"/>
      <c r="F59" s="53"/>
      <c r="G59" s="53"/>
      <c r="H59" s="53"/>
      <c r="I59" s="8"/>
    </row>
    <row r="60" spans="1:9" ht="24.75" customHeight="1" x14ac:dyDescent="0.35">
      <c r="A60" s="8"/>
      <c r="B60" s="9"/>
      <c r="C60" s="61"/>
      <c r="D60" s="53"/>
      <c r="E60" s="53"/>
      <c r="F60" s="53"/>
      <c r="G60" s="53"/>
      <c r="H60" s="53"/>
      <c r="I60" s="8"/>
    </row>
    <row r="61" spans="1:9" ht="24.75" customHeight="1" x14ac:dyDescent="0.35">
      <c r="A61" s="8"/>
      <c r="B61" s="9"/>
      <c r="C61" s="61"/>
      <c r="D61" s="53"/>
      <c r="E61" s="53"/>
      <c r="F61" s="53"/>
      <c r="G61" s="53"/>
      <c r="H61" s="53"/>
      <c r="I61" s="8"/>
    </row>
    <row r="62" spans="1:9" ht="24.75" customHeight="1" x14ac:dyDescent="0.35">
      <c r="A62" s="8"/>
      <c r="B62" s="9"/>
      <c r="C62" s="61"/>
      <c r="D62" s="53"/>
      <c r="E62" s="53"/>
      <c r="F62" s="53"/>
      <c r="G62" s="53"/>
      <c r="H62" s="53"/>
      <c r="I62" s="8"/>
    </row>
    <row r="63" spans="1:9" ht="24.75" customHeight="1" x14ac:dyDescent="0.35">
      <c r="A63" s="48"/>
      <c r="B63" s="9"/>
      <c r="C63" s="61"/>
      <c r="D63" s="53"/>
      <c r="E63" s="53"/>
      <c r="F63" s="53"/>
      <c r="G63" s="53"/>
      <c r="H63" s="53"/>
      <c r="I63" s="8"/>
    </row>
    <row r="64" spans="1:9" ht="24.75" customHeight="1" x14ac:dyDescent="0.35">
      <c r="A64" s="48"/>
      <c r="B64" s="9"/>
      <c r="C64" s="61"/>
      <c r="D64" s="53"/>
      <c r="E64" s="53"/>
      <c r="F64" s="53"/>
      <c r="G64" s="53"/>
      <c r="H64" s="53"/>
      <c r="I64" s="8"/>
    </row>
    <row r="65" spans="1:9" ht="24.75" customHeight="1" x14ac:dyDescent="0.35">
      <c r="A65" s="48"/>
      <c r="B65" s="9"/>
      <c r="C65" s="42"/>
      <c r="D65" s="53"/>
      <c r="E65" s="53"/>
      <c r="F65" s="53"/>
      <c r="G65" s="53"/>
      <c r="H65" s="53"/>
      <c r="I65" s="8"/>
    </row>
    <row r="66" spans="1:9" ht="24.75" customHeight="1" x14ac:dyDescent="0.35">
      <c r="A66" s="8"/>
      <c r="B66" s="9"/>
      <c r="C66" s="61"/>
      <c r="D66" s="53"/>
      <c r="E66" s="53"/>
      <c r="F66" s="53"/>
      <c r="G66" s="53"/>
      <c r="H66" s="53"/>
      <c r="I66" s="8"/>
    </row>
    <row r="67" spans="1:9" ht="24.75" customHeight="1" x14ac:dyDescent="0.35">
      <c r="A67" s="8"/>
      <c r="B67" s="9"/>
      <c r="C67" s="61"/>
      <c r="D67" s="53"/>
      <c r="E67" s="53"/>
      <c r="F67" s="53"/>
      <c r="G67" s="53"/>
      <c r="H67" s="53"/>
      <c r="I67" s="8"/>
    </row>
    <row r="68" spans="1:9" ht="24.75" customHeight="1" x14ac:dyDescent="0.35">
      <c r="A68" s="8"/>
      <c r="B68" s="9"/>
      <c r="C68" s="61"/>
      <c r="D68" s="53"/>
      <c r="E68" s="53"/>
      <c r="F68" s="53"/>
      <c r="G68" s="53"/>
      <c r="H68" s="53"/>
      <c r="I68" s="8"/>
    </row>
    <row r="69" spans="1:9" ht="24.75" customHeight="1" x14ac:dyDescent="0.35">
      <c r="A69" s="8"/>
      <c r="B69" s="9"/>
      <c r="C69" s="61"/>
      <c r="D69" s="53"/>
      <c r="E69" s="53"/>
      <c r="F69" s="53"/>
      <c r="G69" s="53"/>
      <c r="H69" s="53"/>
      <c r="I69" s="8"/>
    </row>
    <row r="70" spans="1:9" ht="24.75" customHeight="1" x14ac:dyDescent="0.35">
      <c r="A70" s="8"/>
      <c r="B70" s="9"/>
      <c r="C70" s="61"/>
      <c r="D70" s="53"/>
      <c r="E70" s="53"/>
      <c r="F70" s="53"/>
      <c r="G70" s="53"/>
      <c r="H70" s="53"/>
      <c r="I70" s="8"/>
    </row>
    <row r="71" spans="1:9" ht="24.75" customHeight="1" x14ac:dyDescent="0.35">
      <c r="A71" s="8"/>
      <c r="B71" s="9"/>
      <c r="C71" s="61"/>
      <c r="D71" s="53"/>
      <c r="E71" s="53"/>
      <c r="F71" s="53"/>
      <c r="G71" s="53"/>
      <c r="H71" s="53"/>
      <c r="I71" s="8"/>
    </row>
    <row r="72" spans="1:9" ht="24.75" customHeight="1" x14ac:dyDescent="0.35">
      <c r="A72" s="8"/>
      <c r="B72" s="9"/>
      <c r="C72" s="61"/>
      <c r="D72" s="53"/>
      <c r="E72" s="53"/>
      <c r="F72" s="53"/>
      <c r="G72" s="53"/>
      <c r="H72" s="53"/>
      <c r="I72" s="8"/>
    </row>
    <row r="73" spans="1:9" ht="24.75" customHeight="1" x14ac:dyDescent="0.35">
      <c r="A73" s="8"/>
      <c r="B73" s="9"/>
      <c r="C73" s="61"/>
      <c r="D73" s="53"/>
      <c r="E73" s="53"/>
      <c r="F73" s="53"/>
      <c r="G73" s="53"/>
      <c r="H73" s="53"/>
      <c r="I73" s="8"/>
    </row>
    <row r="74" spans="1:9" ht="24.75" customHeight="1" x14ac:dyDescent="0.35">
      <c r="A74" s="8"/>
      <c r="B74" s="9"/>
      <c r="C74" s="61"/>
      <c r="D74" s="53"/>
      <c r="E74" s="53"/>
      <c r="F74" s="53"/>
      <c r="G74" s="53"/>
      <c r="H74" s="53"/>
      <c r="I74" s="8"/>
    </row>
    <row r="75" spans="1:9" ht="24.75" customHeight="1" x14ac:dyDescent="0.35">
      <c r="A75" s="8"/>
      <c r="B75" s="9"/>
      <c r="C75" s="61"/>
      <c r="D75" s="53"/>
      <c r="E75" s="53"/>
      <c r="F75" s="53"/>
      <c r="G75" s="53"/>
      <c r="H75" s="53"/>
      <c r="I75" s="8"/>
    </row>
    <row r="76" spans="1:9" ht="24.75" customHeight="1" x14ac:dyDescent="0.35">
      <c r="A76" s="8"/>
      <c r="B76" s="9"/>
      <c r="C76" s="61"/>
      <c r="D76" s="53"/>
      <c r="E76" s="53"/>
      <c r="F76" s="53"/>
      <c r="G76" s="53"/>
      <c r="H76" s="53"/>
      <c r="I76" s="8"/>
    </row>
    <row r="77" spans="1:9" ht="24.75" customHeight="1" x14ac:dyDescent="0.35">
      <c r="A77" s="8"/>
      <c r="B77" s="9"/>
      <c r="C77" s="61"/>
      <c r="D77" s="53"/>
      <c r="E77" s="53"/>
      <c r="F77" s="53"/>
      <c r="G77" s="53"/>
      <c r="H77" s="53"/>
      <c r="I77" s="8"/>
    </row>
    <row r="78" spans="1:9" ht="24.75" customHeight="1" x14ac:dyDescent="0.35">
      <c r="A78" s="8"/>
      <c r="B78" s="9"/>
      <c r="C78" s="61"/>
      <c r="D78" s="53"/>
      <c r="E78" s="53"/>
      <c r="F78" s="53"/>
      <c r="G78" s="53"/>
      <c r="H78" s="53"/>
      <c r="I78" s="8"/>
    </row>
    <row r="79" spans="1:9" ht="24.75" customHeight="1" x14ac:dyDescent="0.35">
      <c r="A79" s="8"/>
      <c r="B79" s="9"/>
      <c r="C79" s="61"/>
      <c r="D79" s="53"/>
      <c r="E79" s="53"/>
      <c r="F79" s="53"/>
      <c r="G79" s="53"/>
      <c r="H79" s="53"/>
      <c r="I79" s="8"/>
    </row>
    <row r="80" spans="1:9" ht="24.75" customHeight="1" x14ac:dyDescent="0.35">
      <c r="A80" s="8"/>
      <c r="B80" s="9"/>
      <c r="C80" s="61"/>
      <c r="D80" s="53"/>
      <c r="E80" s="53"/>
      <c r="F80" s="53"/>
      <c r="G80" s="53"/>
      <c r="H80" s="53"/>
      <c r="I80" s="8"/>
    </row>
    <row r="81" spans="1:9" ht="24.75" customHeight="1" x14ac:dyDescent="0.35">
      <c r="A81" s="8"/>
      <c r="B81" s="9"/>
      <c r="C81" s="61"/>
      <c r="D81" s="53"/>
      <c r="E81" s="53"/>
      <c r="F81" s="53"/>
      <c r="G81" s="53"/>
      <c r="H81" s="53"/>
      <c r="I81" s="8"/>
    </row>
    <row r="82" spans="1:9" ht="24.75" customHeight="1" x14ac:dyDescent="0.35">
      <c r="A82" s="8"/>
      <c r="B82" s="9"/>
      <c r="C82" s="61"/>
      <c r="D82" s="53"/>
      <c r="E82" s="53"/>
      <c r="F82" s="53"/>
      <c r="G82" s="53"/>
      <c r="H82" s="53"/>
      <c r="I82" s="8"/>
    </row>
    <row r="83" spans="1:9" ht="24.75" customHeight="1" x14ac:dyDescent="0.35">
      <c r="A83" s="8"/>
      <c r="B83" s="9"/>
      <c r="C83" s="61"/>
      <c r="D83" s="53"/>
      <c r="E83" s="53"/>
      <c r="F83" s="53"/>
      <c r="G83" s="53"/>
      <c r="H83" s="53"/>
      <c r="I83" s="8"/>
    </row>
    <row r="84" spans="1:9" ht="24.75" customHeight="1" x14ac:dyDescent="0.35">
      <c r="A84" s="8"/>
      <c r="B84" s="9"/>
      <c r="C84" s="61"/>
      <c r="D84" s="53"/>
      <c r="E84" s="53"/>
      <c r="F84" s="53"/>
      <c r="G84" s="53"/>
      <c r="H84" s="53"/>
      <c r="I84" s="8"/>
    </row>
    <row r="85" spans="1:9" ht="24.75" customHeight="1" x14ac:dyDescent="0.35">
      <c r="A85" s="8"/>
      <c r="B85" s="9"/>
      <c r="C85" s="61"/>
      <c r="D85" s="53"/>
      <c r="E85" s="53"/>
      <c r="F85" s="53"/>
      <c r="G85" s="53"/>
      <c r="H85" s="53"/>
      <c r="I85" s="8"/>
    </row>
    <row r="86" spans="1:9" ht="24.75" customHeight="1" x14ac:dyDescent="0.35">
      <c r="A86" s="8"/>
      <c r="B86" s="9"/>
      <c r="C86" s="61"/>
      <c r="D86" s="53"/>
      <c r="E86" s="53"/>
      <c r="F86" s="53"/>
      <c r="G86" s="53"/>
      <c r="H86" s="53"/>
      <c r="I86" s="8"/>
    </row>
    <row r="87" spans="1:9" ht="24.75" customHeight="1" x14ac:dyDescent="0.35">
      <c r="A87" s="8"/>
      <c r="B87" s="9"/>
      <c r="C87" s="61"/>
      <c r="D87" s="53"/>
      <c r="E87" s="53"/>
      <c r="F87" s="53"/>
      <c r="G87" s="53"/>
      <c r="H87" s="53"/>
      <c r="I87" s="8"/>
    </row>
    <row r="88" spans="1:9" ht="24.75" customHeight="1" x14ac:dyDescent="0.35">
      <c r="A88" s="8"/>
      <c r="B88" s="9"/>
      <c r="C88" s="61"/>
      <c r="D88" s="53"/>
      <c r="E88" s="53"/>
      <c r="F88" s="53"/>
      <c r="G88" s="53"/>
      <c r="H88" s="53"/>
      <c r="I88" s="8"/>
    </row>
    <row r="89" spans="1:9" ht="24.75" customHeight="1" x14ac:dyDescent="0.35">
      <c r="A89" s="8"/>
      <c r="B89" s="9"/>
      <c r="C89" s="61"/>
      <c r="D89" s="53"/>
      <c r="E89" s="53"/>
      <c r="F89" s="53"/>
      <c r="G89" s="53"/>
      <c r="H89" s="53"/>
      <c r="I89" s="8"/>
    </row>
    <row r="90" spans="1:9" ht="24.75" customHeight="1" x14ac:dyDescent="0.35">
      <c r="A90" s="8"/>
      <c r="B90" s="9"/>
      <c r="C90" s="61"/>
      <c r="D90" s="53"/>
      <c r="E90" s="53"/>
      <c r="F90" s="53"/>
      <c r="G90" s="53"/>
      <c r="H90" s="53"/>
      <c r="I90" s="8"/>
    </row>
    <row r="91" spans="1:9" ht="24.75" customHeight="1" x14ac:dyDescent="0.35">
      <c r="A91" s="8"/>
      <c r="B91" s="9"/>
      <c r="C91" s="61"/>
      <c r="D91" s="53"/>
      <c r="E91" s="53"/>
      <c r="F91" s="53"/>
      <c r="G91" s="53"/>
      <c r="H91" s="53"/>
      <c r="I91" s="8"/>
    </row>
    <row r="92" spans="1:9" ht="24.75" customHeight="1" x14ac:dyDescent="0.35">
      <c r="A92" s="8"/>
      <c r="B92" s="9"/>
      <c r="C92" s="61"/>
      <c r="D92" s="53"/>
      <c r="E92" s="53"/>
      <c r="F92" s="53"/>
      <c r="G92" s="53"/>
      <c r="H92" s="53"/>
      <c r="I92" s="8"/>
    </row>
    <row r="93" spans="1:9" ht="24.75" customHeight="1" x14ac:dyDescent="0.35">
      <c r="A93" s="8"/>
      <c r="B93" s="9"/>
      <c r="C93" s="61"/>
      <c r="D93" s="53"/>
      <c r="E93" s="53"/>
      <c r="F93" s="53"/>
      <c r="G93" s="53"/>
      <c r="H93" s="53"/>
      <c r="I93" s="8"/>
    </row>
    <row r="94" spans="1:9" ht="24.75" customHeight="1" x14ac:dyDescent="0.35">
      <c r="A94" s="8"/>
      <c r="B94" s="9"/>
      <c r="C94" s="61"/>
      <c r="D94" s="53"/>
      <c r="E94" s="53"/>
      <c r="F94" s="53"/>
      <c r="G94" s="53"/>
      <c r="H94" s="53"/>
      <c r="I94" s="8"/>
    </row>
    <row r="95" spans="1:9" ht="24.75" customHeight="1" x14ac:dyDescent="0.35">
      <c r="A95" s="8"/>
      <c r="B95" s="9"/>
      <c r="C95" s="61"/>
      <c r="D95" s="53"/>
      <c r="E95" s="53"/>
      <c r="F95" s="53"/>
      <c r="G95" s="53"/>
      <c r="H95" s="53"/>
      <c r="I95" s="8"/>
    </row>
    <row r="96" spans="1:9" ht="24.75" customHeight="1" x14ac:dyDescent="0.35">
      <c r="A96" s="8"/>
      <c r="B96" s="9"/>
      <c r="C96" s="61"/>
      <c r="D96" s="53"/>
      <c r="E96" s="53"/>
      <c r="F96" s="53"/>
      <c r="G96" s="53"/>
      <c r="H96" s="53"/>
      <c r="I96" s="8"/>
    </row>
    <row r="97" spans="1:9" ht="24.75" customHeight="1" x14ac:dyDescent="0.35">
      <c r="A97" s="8"/>
      <c r="B97" s="9"/>
      <c r="C97" s="61"/>
      <c r="D97" s="53"/>
      <c r="E97" s="53"/>
      <c r="F97" s="53"/>
      <c r="G97" s="53"/>
      <c r="H97" s="53"/>
      <c r="I97" s="8"/>
    </row>
    <row r="98" spans="1:9" ht="24.75" customHeight="1" x14ac:dyDescent="0.35">
      <c r="A98" s="8"/>
      <c r="B98" s="9"/>
      <c r="C98" s="61"/>
      <c r="D98" s="53"/>
      <c r="E98" s="53"/>
      <c r="F98" s="53"/>
      <c r="G98" s="53"/>
      <c r="H98" s="53"/>
      <c r="I98" s="8"/>
    </row>
    <row r="99" spans="1:9" ht="24.75" customHeight="1" x14ac:dyDescent="0.35">
      <c r="A99" s="8"/>
      <c r="B99" s="9"/>
      <c r="C99" s="61"/>
      <c r="D99" s="53"/>
      <c r="E99" s="53"/>
      <c r="F99" s="53"/>
      <c r="G99" s="53"/>
      <c r="H99" s="53"/>
      <c r="I99" s="8"/>
    </row>
    <row r="100" spans="1:9" ht="24.75" customHeight="1" x14ac:dyDescent="0.35">
      <c r="A100" s="8"/>
      <c r="B100" s="9"/>
      <c r="C100" s="61"/>
      <c r="D100" s="53"/>
      <c r="E100" s="53"/>
      <c r="F100" s="53"/>
      <c r="G100" s="53"/>
      <c r="H100" s="53"/>
      <c r="I100" s="8"/>
    </row>
    <row r="101" spans="1:9" ht="24.75" customHeight="1" x14ac:dyDescent="0.35">
      <c r="A101" s="69"/>
      <c r="B101" s="9"/>
      <c r="C101" s="8"/>
      <c r="D101" s="53"/>
      <c r="E101" s="53"/>
      <c r="F101" s="53"/>
      <c r="G101" s="53"/>
      <c r="H101" s="53"/>
      <c r="I101" s="8"/>
    </row>
    <row r="102" spans="1:9" ht="24.75" customHeight="1" x14ac:dyDescent="0.35">
      <c r="A102" s="8"/>
      <c r="B102" s="9"/>
      <c r="C102" s="56"/>
      <c r="D102" s="53"/>
      <c r="E102" s="53"/>
      <c r="F102" s="53"/>
      <c r="G102" s="53"/>
      <c r="H102" s="53"/>
      <c r="I102" s="8"/>
    </row>
    <row r="103" spans="1:9" ht="24.75" customHeight="1" x14ac:dyDescent="0.35">
      <c r="A103" s="8"/>
      <c r="B103" s="9"/>
      <c r="C103" s="56"/>
      <c r="D103" s="53"/>
      <c r="E103" s="53"/>
      <c r="F103" s="53"/>
      <c r="G103" s="53"/>
      <c r="H103" s="53"/>
      <c r="I103" s="8"/>
    </row>
    <row r="104" spans="1:9" ht="24.75" customHeight="1" x14ac:dyDescent="0.35">
      <c r="A104" s="8"/>
      <c r="B104" s="9"/>
      <c r="C104" s="56"/>
      <c r="D104" s="53"/>
      <c r="E104" s="53"/>
      <c r="F104" s="53"/>
      <c r="G104" s="53"/>
      <c r="H104" s="53"/>
      <c r="I104" s="8"/>
    </row>
    <row r="105" spans="1:9" ht="24.75" customHeight="1" x14ac:dyDescent="0.35">
      <c r="A105" s="8"/>
      <c r="B105" s="9"/>
      <c r="C105" s="56"/>
      <c r="D105" s="53"/>
      <c r="E105" s="53"/>
      <c r="F105" s="53"/>
      <c r="G105" s="53"/>
      <c r="H105" s="53"/>
      <c r="I105" s="8"/>
    </row>
    <row r="106" spans="1:9" ht="24.75" customHeight="1" x14ac:dyDescent="0.35">
      <c r="A106" s="8"/>
      <c r="B106" s="9"/>
      <c r="C106" s="56"/>
      <c r="D106" s="53"/>
      <c r="E106" s="53"/>
      <c r="F106" s="53"/>
      <c r="G106" s="53"/>
      <c r="H106" s="53"/>
      <c r="I106" s="8"/>
    </row>
    <row r="107" spans="1:9" ht="24.75" customHeight="1" x14ac:dyDescent="0.35">
      <c r="A107" s="8"/>
      <c r="B107" s="9"/>
      <c r="C107" s="56"/>
      <c r="D107" s="53"/>
      <c r="E107" s="53"/>
      <c r="F107" s="53"/>
      <c r="G107" s="53"/>
      <c r="H107" s="53"/>
      <c r="I107" s="8"/>
    </row>
    <row r="108" spans="1:9" ht="24.75" customHeight="1" x14ac:dyDescent="0.35">
      <c r="A108" s="8"/>
      <c r="B108" s="9"/>
      <c r="C108" s="56"/>
      <c r="D108" s="53"/>
      <c r="E108" s="53"/>
      <c r="F108" s="53"/>
      <c r="G108" s="53"/>
      <c r="H108" s="53"/>
      <c r="I108" s="8"/>
    </row>
    <row r="109" spans="1:9" ht="24.75" customHeight="1" x14ac:dyDescent="0.35">
      <c r="A109" s="8"/>
      <c r="B109" s="9"/>
      <c r="C109" s="56"/>
      <c r="D109" s="53"/>
      <c r="E109" s="53"/>
      <c r="F109" s="53"/>
      <c r="G109" s="53"/>
      <c r="H109" s="53"/>
      <c r="I109" s="8"/>
    </row>
    <row r="110" spans="1:9" ht="24.75" customHeight="1" x14ac:dyDescent="0.35">
      <c r="A110" s="8"/>
      <c r="B110" s="9"/>
      <c r="C110" s="56"/>
      <c r="D110" s="53"/>
      <c r="E110" s="53"/>
      <c r="F110" s="53"/>
      <c r="G110" s="53"/>
      <c r="H110" s="53"/>
      <c r="I110" s="8"/>
    </row>
    <row r="111" spans="1:9" ht="24.75" customHeight="1" x14ac:dyDescent="0.35">
      <c r="A111" s="8"/>
      <c r="B111" s="9"/>
      <c r="C111" s="56"/>
      <c r="D111" s="53"/>
      <c r="E111" s="53"/>
      <c r="F111" s="53"/>
      <c r="G111" s="53"/>
      <c r="H111" s="53"/>
      <c r="I111" s="8"/>
    </row>
    <row r="112" spans="1:9" ht="24.75" customHeight="1" x14ac:dyDescent="0.35">
      <c r="A112" s="8"/>
      <c r="B112" s="9"/>
      <c r="C112" s="56"/>
      <c r="D112" s="53"/>
      <c r="E112" s="53"/>
      <c r="F112" s="53"/>
      <c r="G112" s="53"/>
      <c r="H112" s="53"/>
      <c r="I112" s="8"/>
    </row>
    <row r="113" spans="1:9" ht="24.75" customHeight="1" x14ac:dyDescent="0.35">
      <c r="A113" s="8"/>
      <c r="B113" s="9"/>
      <c r="C113" s="56"/>
      <c r="D113" s="53"/>
      <c r="E113" s="53"/>
      <c r="F113" s="53"/>
      <c r="G113" s="53"/>
      <c r="H113" s="53"/>
      <c r="I113" s="8"/>
    </row>
    <row r="114" spans="1:9" ht="24.75" customHeight="1" x14ac:dyDescent="0.35">
      <c r="A114" s="8"/>
      <c r="B114" s="9"/>
      <c r="C114" s="56"/>
      <c r="D114" s="53"/>
      <c r="E114" s="53"/>
      <c r="F114" s="53"/>
      <c r="G114" s="53"/>
      <c r="H114" s="53"/>
      <c r="I114" s="8"/>
    </row>
    <row r="115" spans="1:9" ht="24.75" customHeight="1" x14ac:dyDescent="0.35">
      <c r="A115" s="8"/>
      <c r="B115" s="9"/>
      <c r="C115" s="56"/>
      <c r="D115" s="53"/>
      <c r="E115" s="53"/>
      <c r="F115" s="53"/>
      <c r="G115" s="53"/>
      <c r="H115" s="53"/>
      <c r="I115" s="8"/>
    </row>
    <row r="116" spans="1:9" ht="24.75" customHeight="1" x14ac:dyDescent="0.35">
      <c r="A116" s="8"/>
      <c r="B116" s="9"/>
      <c r="C116" s="56"/>
      <c r="D116" s="53"/>
      <c r="E116" s="53"/>
      <c r="F116" s="53"/>
      <c r="G116" s="53"/>
      <c r="H116" s="53"/>
      <c r="I116" s="8"/>
    </row>
    <row r="117" spans="1:9" ht="24.75" customHeight="1" x14ac:dyDescent="0.35">
      <c r="A117" s="8"/>
      <c r="B117" s="9"/>
      <c r="C117" s="56"/>
      <c r="D117" s="53"/>
      <c r="E117" s="53"/>
      <c r="F117" s="53"/>
      <c r="G117" s="53"/>
      <c r="H117" s="53"/>
      <c r="I117" s="8"/>
    </row>
    <row r="118" spans="1:9" ht="24.75" customHeight="1" x14ac:dyDescent="0.35">
      <c r="A118" s="8"/>
      <c r="B118" s="9"/>
      <c r="C118" s="61"/>
      <c r="D118" s="53"/>
      <c r="E118" s="53"/>
      <c r="F118" s="53"/>
      <c r="G118" s="53"/>
      <c r="H118" s="53"/>
      <c r="I118" s="8"/>
    </row>
    <row r="119" spans="1:9" ht="24.75" customHeight="1" x14ac:dyDescent="0.35">
      <c r="A119" s="8"/>
      <c r="B119" s="9"/>
      <c r="C119" s="61"/>
      <c r="D119" s="53"/>
      <c r="E119" s="53"/>
      <c r="F119" s="53"/>
      <c r="G119" s="53"/>
      <c r="H119" s="53"/>
      <c r="I119" s="8"/>
    </row>
    <row r="120" spans="1:9" ht="24.75" customHeight="1" x14ac:dyDescent="0.35">
      <c r="A120" s="8"/>
      <c r="B120" s="9"/>
      <c r="C120" s="61"/>
      <c r="D120" s="53"/>
      <c r="E120" s="53"/>
      <c r="F120" s="53"/>
      <c r="G120" s="53"/>
      <c r="H120" s="53"/>
      <c r="I120" s="8"/>
    </row>
    <row r="121" spans="1:9" ht="24.75" customHeight="1" x14ac:dyDescent="0.35">
      <c r="A121" s="8"/>
      <c r="B121" s="9"/>
      <c r="C121" s="61"/>
      <c r="D121" s="53"/>
      <c r="E121" s="53"/>
      <c r="F121" s="53"/>
      <c r="G121" s="53"/>
      <c r="H121" s="53"/>
      <c r="I121" s="8"/>
    </row>
    <row r="122" spans="1:9" ht="24.75" customHeight="1" x14ac:dyDescent="0.35">
      <c r="A122" s="8"/>
      <c r="B122" s="9"/>
      <c r="C122" s="61"/>
      <c r="D122" s="53"/>
      <c r="E122" s="53"/>
      <c r="F122" s="53"/>
      <c r="G122" s="53"/>
      <c r="H122" s="53"/>
      <c r="I122" s="8"/>
    </row>
    <row r="123" spans="1:9" ht="24.75" customHeight="1" x14ac:dyDescent="0.35">
      <c r="A123" s="8"/>
      <c r="B123" s="9"/>
      <c r="C123" s="61"/>
      <c r="D123" s="53"/>
      <c r="E123" s="53"/>
      <c r="F123" s="53"/>
      <c r="G123" s="53"/>
      <c r="H123" s="53"/>
      <c r="I123" s="8"/>
    </row>
    <row r="124" spans="1:9" ht="24.75" customHeight="1" x14ac:dyDescent="0.35">
      <c r="A124" s="8"/>
      <c r="B124" s="9"/>
      <c r="C124" s="61"/>
      <c r="D124" s="53"/>
      <c r="E124" s="53"/>
      <c r="F124" s="53"/>
      <c r="G124" s="53"/>
      <c r="H124" s="53"/>
      <c r="I124" s="8"/>
    </row>
    <row r="125" spans="1:9" ht="24.75" customHeight="1" x14ac:dyDescent="0.35">
      <c r="A125" s="8"/>
      <c r="B125" s="9"/>
      <c r="C125" s="61"/>
      <c r="D125" s="53"/>
      <c r="E125" s="53"/>
      <c r="F125" s="53"/>
      <c r="G125" s="53"/>
      <c r="H125" s="53"/>
      <c r="I125" s="8"/>
    </row>
    <row r="126" spans="1:9" ht="24.75" customHeight="1" x14ac:dyDescent="0.35">
      <c r="A126" s="8"/>
      <c r="B126" s="9"/>
      <c r="C126" s="61"/>
      <c r="D126" s="53"/>
      <c r="E126" s="53"/>
      <c r="F126" s="53"/>
      <c r="G126" s="53"/>
      <c r="H126" s="53"/>
      <c r="I126" s="8"/>
    </row>
    <row r="127" spans="1:9" ht="24.75" customHeight="1" x14ac:dyDescent="0.35">
      <c r="A127" s="8"/>
      <c r="B127" s="9"/>
      <c r="C127" s="61"/>
      <c r="D127" s="53"/>
      <c r="E127" s="53"/>
      <c r="F127" s="53"/>
      <c r="G127" s="53"/>
      <c r="H127" s="53"/>
      <c r="I127" s="8"/>
    </row>
    <row r="128" spans="1:9" ht="24.75" customHeight="1" x14ac:dyDescent="0.35">
      <c r="A128" s="8"/>
      <c r="B128" s="9"/>
      <c r="C128" s="61"/>
      <c r="D128" s="53"/>
      <c r="E128" s="53"/>
      <c r="F128" s="53"/>
      <c r="G128" s="53"/>
      <c r="H128" s="53"/>
      <c r="I128" s="8"/>
    </row>
    <row r="129" spans="1:9" ht="24.75" customHeight="1" x14ac:dyDescent="0.35">
      <c r="A129" s="8"/>
      <c r="B129" s="9"/>
      <c r="C129" s="61"/>
      <c r="D129" s="53"/>
      <c r="E129" s="53"/>
      <c r="F129" s="53"/>
      <c r="G129" s="53"/>
      <c r="H129" s="53"/>
      <c r="I129" s="8"/>
    </row>
    <row r="130" spans="1:9" ht="24.75" customHeight="1" x14ac:dyDescent="0.35">
      <c r="A130" s="8"/>
      <c r="B130" s="9"/>
      <c r="C130" s="61"/>
      <c r="D130" s="53"/>
      <c r="E130" s="53"/>
      <c r="F130" s="53"/>
      <c r="G130" s="53"/>
      <c r="H130" s="53"/>
      <c r="I130" s="8"/>
    </row>
    <row r="131" spans="1:9" ht="24.75" customHeight="1" x14ac:dyDescent="0.35">
      <c r="A131" s="8"/>
      <c r="B131" s="9"/>
      <c r="C131" s="61"/>
      <c r="D131" s="53"/>
      <c r="E131" s="53"/>
      <c r="F131" s="53"/>
      <c r="G131" s="53"/>
      <c r="H131" s="53"/>
      <c r="I131" s="8"/>
    </row>
    <row r="132" spans="1:9" ht="24.75" customHeight="1" x14ac:dyDescent="0.35">
      <c r="A132" s="8"/>
      <c r="B132" s="9"/>
      <c r="C132" s="61"/>
      <c r="D132" s="53"/>
      <c r="E132" s="53"/>
      <c r="F132" s="53"/>
      <c r="G132" s="53"/>
      <c r="H132" s="53"/>
      <c r="I132" s="8"/>
    </row>
    <row r="133" spans="1:9" ht="24.75" customHeight="1" x14ac:dyDescent="0.35">
      <c r="A133" s="8"/>
      <c r="B133" s="9"/>
      <c r="C133" s="61"/>
      <c r="D133" s="53"/>
      <c r="E133" s="53"/>
      <c r="F133" s="53"/>
      <c r="G133" s="53"/>
      <c r="H133" s="53"/>
      <c r="I133" s="8"/>
    </row>
    <row r="134" spans="1:9" ht="24.75" customHeight="1" x14ac:dyDescent="0.35">
      <c r="A134" s="8"/>
      <c r="B134" s="9"/>
      <c r="C134" s="61"/>
      <c r="D134" s="53"/>
      <c r="E134" s="53"/>
      <c r="F134" s="53"/>
      <c r="G134" s="53"/>
      <c r="H134" s="53"/>
      <c r="I134" s="8"/>
    </row>
    <row r="135" spans="1:9" ht="24.75" customHeight="1" x14ac:dyDescent="0.35">
      <c r="A135" s="8"/>
      <c r="B135" s="9"/>
      <c r="C135" s="61"/>
      <c r="D135" s="53"/>
      <c r="E135" s="53"/>
      <c r="F135" s="53"/>
      <c r="G135" s="53"/>
      <c r="H135" s="53"/>
      <c r="I135" s="8"/>
    </row>
    <row r="136" spans="1:9" ht="24.75" customHeight="1" x14ac:dyDescent="0.35">
      <c r="A136" s="8"/>
      <c r="B136" s="9"/>
      <c r="C136" s="61"/>
      <c r="D136" s="53"/>
      <c r="E136" s="53"/>
      <c r="F136" s="53"/>
      <c r="G136" s="53"/>
      <c r="H136" s="53"/>
      <c r="I136" s="8"/>
    </row>
    <row r="137" spans="1:9" ht="24.75" customHeight="1" x14ac:dyDescent="0.35">
      <c r="A137" s="8"/>
      <c r="B137" s="9"/>
      <c r="C137" s="61"/>
      <c r="D137" s="53"/>
      <c r="E137" s="53"/>
      <c r="F137" s="53"/>
      <c r="G137" s="53"/>
      <c r="H137" s="53"/>
      <c r="I137" s="8"/>
    </row>
    <row r="138" spans="1:9" ht="24.75" customHeight="1" x14ac:dyDescent="0.35">
      <c r="A138" s="8"/>
      <c r="B138" s="9"/>
      <c r="C138" s="61"/>
      <c r="D138" s="53"/>
      <c r="E138" s="53"/>
      <c r="F138" s="53"/>
      <c r="G138" s="53"/>
      <c r="H138" s="53"/>
      <c r="I138" s="8"/>
    </row>
    <row r="139" spans="1:9" ht="24.75" customHeight="1" x14ac:dyDescent="0.35">
      <c r="A139" s="8"/>
      <c r="B139" s="9"/>
      <c r="C139" s="61"/>
      <c r="D139" s="53"/>
      <c r="E139" s="53"/>
      <c r="F139" s="53"/>
      <c r="G139" s="53"/>
      <c r="H139" s="53"/>
      <c r="I139" s="8"/>
    </row>
    <row r="140" spans="1:9" ht="24.75" customHeight="1" x14ac:dyDescent="0.35">
      <c r="A140" s="8"/>
      <c r="B140" s="9"/>
      <c r="C140" s="61"/>
      <c r="D140" s="53"/>
      <c r="E140" s="53"/>
      <c r="F140" s="53"/>
      <c r="G140" s="53"/>
      <c r="H140" s="53"/>
      <c r="I140" s="8"/>
    </row>
    <row r="141" spans="1:9" ht="24.75" customHeight="1" x14ac:dyDescent="0.35">
      <c r="A141" s="8"/>
      <c r="B141" s="9"/>
      <c r="C141" s="61"/>
      <c r="D141" s="53"/>
      <c r="E141" s="53"/>
      <c r="F141" s="53"/>
      <c r="G141" s="53"/>
      <c r="H141" s="53"/>
      <c r="I141" s="8"/>
    </row>
    <row r="142" spans="1:9" ht="24.75" customHeight="1" x14ac:dyDescent="0.35">
      <c r="A142" s="8"/>
      <c r="B142" s="9"/>
      <c r="C142" s="61"/>
      <c r="D142" s="53"/>
      <c r="E142" s="53"/>
      <c r="F142" s="53"/>
      <c r="G142" s="53"/>
      <c r="H142" s="53"/>
      <c r="I142" s="8"/>
    </row>
    <row r="143" spans="1:9" ht="24.75" customHeight="1" x14ac:dyDescent="0.35">
      <c r="A143" s="8"/>
      <c r="B143" s="9"/>
      <c r="C143" s="61"/>
      <c r="D143" s="53"/>
      <c r="E143" s="53"/>
      <c r="F143" s="53"/>
      <c r="G143" s="53"/>
      <c r="H143" s="53"/>
      <c r="I143" s="8"/>
    </row>
    <row r="144" spans="1:9" ht="24.75" customHeight="1" x14ac:dyDescent="0.35">
      <c r="A144" s="8"/>
      <c r="B144" s="9"/>
      <c r="C144" s="61"/>
      <c r="D144" s="53"/>
      <c r="E144" s="53"/>
      <c r="F144" s="53"/>
      <c r="G144" s="53"/>
      <c r="H144" s="53"/>
      <c r="I144" s="8"/>
    </row>
    <row r="145" spans="1:9" ht="24.75" customHeight="1" x14ac:dyDescent="0.35">
      <c r="A145" s="8"/>
      <c r="B145" s="9"/>
      <c r="C145" s="61"/>
      <c r="D145" s="53"/>
      <c r="E145" s="53"/>
      <c r="F145" s="53"/>
      <c r="G145" s="53"/>
      <c r="H145" s="53"/>
      <c r="I145" s="8"/>
    </row>
    <row r="146" spans="1:9" ht="24.75" customHeight="1" x14ac:dyDescent="0.35">
      <c r="A146" s="8"/>
      <c r="B146" s="9"/>
      <c r="C146" s="61"/>
      <c r="D146" s="53"/>
      <c r="E146" s="53"/>
      <c r="F146" s="53"/>
      <c r="G146" s="53"/>
      <c r="H146" s="53"/>
      <c r="I146" s="8"/>
    </row>
    <row r="147" spans="1:9" ht="24.75" customHeight="1" x14ac:dyDescent="0.35">
      <c r="A147" s="8"/>
      <c r="B147" s="9"/>
      <c r="C147" s="61"/>
      <c r="D147" s="53"/>
      <c r="E147" s="53"/>
      <c r="F147" s="53"/>
      <c r="G147" s="53"/>
      <c r="H147" s="53"/>
      <c r="I147" s="8"/>
    </row>
    <row r="148" spans="1:9" ht="24.75" customHeight="1" x14ac:dyDescent="0.35">
      <c r="A148" s="8"/>
      <c r="B148" s="9"/>
      <c r="C148" s="61"/>
      <c r="D148" s="53"/>
      <c r="E148" s="53"/>
      <c r="F148" s="53"/>
      <c r="G148" s="53"/>
      <c r="H148" s="53"/>
      <c r="I148" s="8"/>
    </row>
    <row r="149" spans="1:9" ht="24.75" customHeight="1" x14ac:dyDescent="0.35">
      <c r="A149" s="8"/>
      <c r="B149" s="9"/>
      <c r="C149" s="61"/>
      <c r="D149" s="53"/>
      <c r="E149" s="53"/>
      <c r="F149" s="53"/>
      <c r="G149" s="53"/>
      <c r="H149" s="53"/>
      <c r="I149" s="8"/>
    </row>
    <row r="150" spans="1:9" ht="24.75" customHeight="1" x14ac:dyDescent="0.35">
      <c r="A150" s="8"/>
      <c r="B150" s="9"/>
      <c r="C150" s="61"/>
      <c r="D150" s="53"/>
      <c r="E150" s="53"/>
      <c r="F150" s="53"/>
      <c r="G150" s="53"/>
      <c r="H150" s="53"/>
      <c r="I150" s="8"/>
    </row>
    <row r="151" spans="1:9" ht="24.75" customHeight="1" x14ac:dyDescent="0.35">
      <c r="A151" s="8"/>
      <c r="B151" s="9"/>
      <c r="C151" s="61"/>
      <c r="D151" s="53"/>
      <c r="E151" s="53"/>
      <c r="F151" s="53"/>
      <c r="G151" s="53"/>
      <c r="H151" s="53"/>
      <c r="I151" s="8"/>
    </row>
    <row r="152" spans="1:9" ht="24.75" customHeight="1" x14ac:dyDescent="0.35">
      <c r="A152" s="8"/>
      <c r="B152" s="9"/>
      <c r="C152" s="61"/>
      <c r="D152" s="53"/>
      <c r="E152" s="53"/>
      <c r="F152" s="53"/>
      <c r="G152" s="53"/>
      <c r="H152" s="53"/>
      <c r="I152" s="8"/>
    </row>
    <row r="153" spans="1:9" ht="24.75" customHeight="1" x14ac:dyDescent="0.35">
      <c r="A153" s="8"/>
      <c r="B153" s="9"/>
      <c r="C153" s="61"/>
      <c r="D153" s="53"/>
      <c r="E153" s="53"/>
      <c r="F153" s="53"/>
      <c r="G153" s="53"/>
      <c r="H153" s="53"/>
      <c r="I153" s="8"/>
    </row>
    <row r="154" spans="1:9" ht="24.75" customHeight="1" x14ac:dyDescent="0.35">
      <c r="A154" s="8"/>
      <c r="B154" s="9"/>
      <c r="C154" s="61"/>
      <c r="D154" s="53"/>
      <c r="E154" s="53"/>
      <c r="F154" s="53"/>
      <c r="G154" s="53"/>
      <c r="H154" s="53"/>
      <c r="I154" s="8"/>
    </row>
    <row r="155" spans="1:9" ht="24.75" customHeight="1" x14ac:dyDescent="0.35">
      <c r="A155" s="8"/>
      <c r="B155" s="9"/>
      <c r="C155" s="61"/>
      <c r="D155" s="53"/>
      <c r="E155" s="53"/>
      <c r="F155" s="53"/>
      <c r="G155" s="53"/>
      <c r="H155" s="53"/>
      <c r="I155" s="8"/>
    </row>
    <row r="156" spans="1:9" ht="24.75" customHeight="1" x14ac:dyDescent="0.35">
      <c r="A156" s="8"/>
      <c r="B156" s="9"/>
      <c r="C156" s="61"/>
      <c r="D156" s="53"/>
      <c r="E156" s="53"/>
      <c r="F156" s="53"/>
      <c r="G156" s="53"/>
      <c r="H156" s="53"/>
      <c r="I156" s="8"/>
    </row>
    <row r="157" spans="1:9" ht="24.75" customHeight="1" x14ac:dyDescent="0.35">
      <c r="A157" s="8"/>
      <c r="B157" s="9"/>
      <c r="C157" s="61"/>
      <c r="D157" s="53"/>
      <c r="E157" s="53"/>
      <c r="F157" s="53"/>
      <c r="G157" s="53"/>
      <c r="H157" s="53"/>
      <c r="I157" s="8"/>
    </row>
    <row r="158" spans="1:9" ht="24.75" customHeight="1" x14ac:dyDescent="0.35">
      <c r="A158" s="8"/>
      <c r="B158" s="9"/>
      <c r="C158" s="61"/>
      <c r="D158" s="53"/>
      <c r="E158" s="53"/>
      <c r="F158" s="53"/>
      <c r="G158" s="53"/>
      <c r="H158" s="53"/>
      <c r="I158" s="8"/>
    </row>
    <row r="159" spans="1:9" ht="24.75" customHeight="1" x14ac:dyDescent="0.35">
      <c r="A159" s="8"/>
      <c r="B159" s="9"/>
      <c r="C159" s="61"/>
      <c r="D159" s="53"/>
      <c r="E159" s="53"/>
      <c r="F159" s="53"/>
      <c r="G159" s="53"/>
      <c r="H159" s="53"/>
      <c r="I159" s="8"/>
    </row>
    <row r="160" spans="1:9" ht="24.75" customHeight="1" x14ac:dyDescent="0.35">
      <c r="A160" s="8"/>
      <c r="B160" s="9"/>
      <c r="C160" s="61"/>
      <c r="D160" s="53"/>
      <c r="E160" s="53"/>
      <c r="F160" s="53"/>
      <c r="G160" s="53"/>
      <c r="H160" s="53"/>
      <c r="I160" s="8"/>
    </row>
    <row r="161" spans="1:9" ht="24.75" customHeight="1" x14ac:dyDescent="0.35">
      <c r="A161" s="8"/>
      <c r="B161" s="9"/>
      <c r="C161" s="61"/>
      <c r="D161" s="53"/>
      <c r="E161" s="53"/>
      <c r="F161" s="53"/>
      <c r="G161" s="53"/>
      <c r="H161" s="53"/>
      <c r="I161" s="8"/>
    </row>
    <row r="162" spans="1:9" ht="24.75" customHeight="1" x14ac:dyDescent="0.35">
      <c r="A162" s="8"/>
      <c r="B162" s="9"/>
      <c r="C162" s="61"/>
      <c r="D162" s="53"/>
      <c r="E162" s="53"/>
      <c r="F162" s="53"/>
      <c r="G162" s="53"/>
      <c r="H162" s="53"/>
      <c r="I162" s="8"/>
    </row>
    <row r="163" spans="1:9" ht="24.75" customHeight="1" x14ac:dyDescent="0.35">
      <c r="A163" s="8"/>
      <c r="B163" s="9"/>
      <c r="C163" s="61"/>
      <c r="D163" s="53"/>
      <c r="E163" s="53"/>
      <c r="F163" s="53"/>
      <c r="G163" s="53"/>
      <c r="H163" s="53"/>
      <c r="I163" s="8"/>
    </row>
    <row r="164" spans="1:9" ht="24.75" customHeight="1" x14ac:dyDescent="0.35">
      <c r="A164" s="8"/>
      <c r="B164" s="9"/>
      <c r="C164" s="61"/>
      <c r="D164" s="53"/>
      <c r="E164" s="53"/>
      <c r="F164" s="53"/>
      <c r="G164" s="53"/>
      <c r="H164" s="53"/>
      <c r="I164" s="8"/>
    </row>
    <row r="165" spans="1:9" ht="24.75" customHeight="1" x14ac:dyDescent="0.35">
      <c r="A165" s="8"/>
      <c r="B165" s="9"/>
      <c r="C165" s="61"/>
      <c r="D165" s="53"/>
      <c r="E165" s="53"/>
      <c r="F165" s="53"/>
      <c r="G165" s="53"/>
      <c r="H165" s="53"/>
      <c r="I165" s="8"/>
    </row>
    <row r="166" spans="1:9" ht="24.75" customHeight="1" x14ac:dyDescent="0.35">
      <c r="A166" s="8"/>
      <c r="B166" s="9"/>
      <c r="C166" s="61"/>
      <c r="D166" s="53"/>
      <c r="E166" s="53"/>
      <c r="F166" s="53"/>
      <c r="G166" s="53"/>
      <c r="H166" s="53"/>
      <c r="I166" s="8"/>
    </row>
    <row r="167" spans="1:9" ht="24.75" customHeight="1" x14ac:dyDescent="0.35">
      <c r="A167" s="8"/>
      <c r="B167" s="9"/>
      <c r="C167" s="61"/>
      <c r="D167" s="53"/>
      <c r="E167" s="53"/>
      <c r="F167" s="53"/>
      <c r="G167" s="53"/>
      <c r="H167" s="53"/>
      <c r="I167" s="8"/>
    </row>
    <row r="168" spans="1:9" ht="24.75" customHeight="1" x14ac:dyDescent="0.35">
      <c r="A168" s="8"/>
      <c r="B168" s="9"/>
      <c r="C168" s="61"/>
      <c r="D168" s="53"/>
      <c r="E168" s="53"/>
      <c r="F168" s="53"/>
      <c r="G168" s="53"/>
      <c r="H168" s="53"/>
      <c r="I168" s="8"/>
    </row>
    <row r="169" spans="1:9" ht="24.75" customHeight="1" x14ac:dyDescent="0.35">
      <c r="A169" s="48"/>
      <c r="B169" s="9"/>
      <c r="C169" s="61"/>
      <c r="D169" s="53"/>
      <c r="E169" s="53"/>
      <c r="F169" s="53"/>
      <c r="G169" s="53"/>
      <c r="H169" s="53"/>
      <c r="I169" s="8"/>
    </row>
    <row r="170" spans="1:9" ht="24.75" customHeight="1" x14ac:dyDescent="0.35">
      <c r="A170" s="48"/>
      <c r="B170" s="9"/>
      <c r="C170" s="61"/>
      <c r="D170" s="53"/>
      <c r="E170" s="53"/>
      <c r="F170" s="53"/>
      <c r="G170" s="53"/>
      <c r="H170" s="53"/>
      <c r="I170" s="8"/>
    </row>
    <row r="171" spans="1:9" ht="24.75" customHeight="1" x14ac:dyDescent="0.35">
      <c r="A171" s="48"/>
      <c r="B171" s="9"/>
      <c r="C171" s="61"/>
      <c r="D171" s="53"/>
      <c r="E171" s="53"/>
      <c r="F171" s="53"/>
      <c r="G171" s="53"/>
      <c r="H171" s="53"/>
      <c r="I171" s="8"/>
    </row>
    <row r="172" spans="1:9" ht="24.75" customHeight="1" x14ac:dyDescent="0.35">
      <c r="A172" s="48"/>
      <c r="B172" s="9"/>
      <c r="C172" s="61"/>
      <c r="D172" s="53"/>
      <c r="E172" s="53"/>
      <c r="F172" s="53"/>
      <c r="G172" s="53"/>
      <c r="H172" s="53"/>
      <c r="I172" s="8"/>
    </row>
    <row r="173" spans="1:9" ht="24.75" customHeight="1" x14ac:dyDescent="0.35">
      <c r="A173" s="48"/>
      <c r="B173" s="9"/>
      <c r="C173" s="61"/>
      <c r="D173" s="53"/>
      <c r="E173" s="53"/>
      <c r="F173" s="53"/>
      <c r="G173" s="53"/>
      <c r="H173" s="53"/>
      <c r="I173" s="8"/>
    </row>
    <row r="174" spans="1:9" ht="24.75" customHeight="1" x14ac:dyDescent="0.35">
      <c r="A174" s="48"/>
      <c r="B174" s="9"/>
      <c r="C174" s="61"/>
      <c r="D174" s="53"/>
      <c r="E174" s="53"/>
      <c r="F174" s="53"/>
      <c r="G174" s="53"/>
      <c r="H174" s="53"/>
      <c r="I174" s="8"/>
    </row>
    <row r="175" spans="1:9" ht="24.75" customHeight="1" x14ac:dyDescent="0.35">
      <c r="A175" s="48"/>
      <c r="B175" s="9"/>
      <c r="C175" s="61"/>
      <c r="D175" s="53"/>
      <c r="E175" s="53"/>
      <c r="F175" s="53"/>
      <c r="G175" s="53"/>
      <c r="H175" s="53"/>
      <c r="I175" s="8"/>
    </row>
    <row r="176" spans="1:9" ht="24.75" customHeight="1" x14ac:dyDescent="0.35">
      <c r="A176" s="48"/>
      <c r="B176" s="9"/>
      <c r="C176" s="61"/>
      <c r="D176" s="53"/>
      <c r="E176" s="53"/>
      <c r="F176" s="53"/>
      <c r="G176" s="53"/>
      <c r="H176" s="53"/>
      <c r="I176" s="8"/>
    </row>
    <row r="177" spans="1:9" ht="24.75" customHeight="1" x14ac:dyDescent="0.35">
      <c r="A177" s="48"/>
      <c r="B177" s="9"/>
      <c r="C177" s="61"/>
      <c r="D177" s="53"/>
      <c r="E177" s="53"/>
      <c r="F177" s="53"/>
      <c r="G177" s="53"/>
      <c r="H177" s="53"/>
      <c r="I177" s="8"/>
    </row>
    <row r="178" spans="1:9" ht="24.75" customHeight="1" x14ac:dyDescent="0.35">
      <c r="A178" s="48"/>
      <c r="B178" s="9"/>
      <c r="C178" s="61"/>
      <c r="D178" s="53"/>
      <c r="E178" s="53"/>
      <c r="F178" s="53"/>
      <c r="G178" s="53"/>
      <c r="H178" s="53"/>
      <c r="I178" s="8"/>
    </row>
    <row r="179" spans="1:9" ht="24.75" customHeight="1" x14ac:dyDescent="0.35">
      <c r="A179" s="48"/>
      <c r="B179" s="9"/>
      <c r="C179" s="61"/>
      <c r="D179" s="53"/>
      <c r="E179" s="53"/>
      <c r="F179" s="53"/>
      <c r="G179" s="53"/>
      <c r="H179" s="53"/>
      <c r="I179" s="8"/>
    </row>
    <row r="180" spans="1:9" ht="24.75" customHeight="1" x14ac:dyDescent="0.35">
      <c r="A180" s="48"/>
      <c r="B180" s="9"/>
      <c r="C180" s="61"/>
      <c r="D180" s="53"/>
      <c r="E180" s="53"/>
      <c r="F180" s="53"/>
      <c r="G180" s="53"/>
      <c r="H180" s="53"/>
      <c r="I180" s="8"/>
    </row>
    <row r="181" spans="1:9" ht="24.75" customHeight="1" x14ac:dyDescent="0.35">
      <c r="A181" s="48"/>
      <c r="B181" s="9"/>
      <c r="C181" s="61"/>
      <c r="D181" s="53"/>
      <c r="E181" s="53"/>
      <c r="F181" s="53"/>
      <c r="G181" s="53"/>
      <c r="H181" s="53"/>
      <c r="I181" s="8"/>
    </row>
    <row r="182" spans="1:9" ht="24.75" customHeight="1" x14ac:dyDescent="0.35">
      <c r="A182" s="48"/>
      <c r="B182" s="9"/>
      <c r="C182" s="61"/>
      <c r="D182" s="53"/>
      <c r="E182" s="53"/>
      <c r="F182" s="53"/>
      <c r="G182" s="53"/>
      <c r="H182" s="53"/>
      <c r="I182" s="8"/>
    </row>
    <row r="183" spans="1:9" ht="24.75" customHeight="1" x14ac:dyDescent="0.35">
      <c r="A183" s="48"/>
      <c r="B183" s="9"/>
      <c r="C183" s="61"/>
      <c r="D183" s="53"/>
      <c r="E183" s="53"/>
      <c r="F183" s="53"/>
      <c r="G183" s="53"/>
      <c r="H183" s="53"/>
      <c r="I183" s="8"/>
    </row>
    <row r="184" spans="1:9" ht="24.75" customHeight="1" x14ac:dyDescent="0.35">
      <c r="A184" s="48"/>
      <c r="B184" s="9"/>
      <c r="C184" s="61"/>
      <c r="D184" s="53"/>
      <c r="E184" s="53"/>
      <c r="F184" s="53"/>
      <c r="G184" s="53"/>
      <c r="H184" s="53"/>
      <c r="I184" s="8"/>
    </row>
    <row r="185" spans="1:9" ht="24.75" customHeight="1" x14ac:dyDescent="0.35">
      <c r="A185" s="48"/>
      <c r="B185" s="9"/>
      <c r="C185" s="61"/>
      <c r="D185" s="53"/>
      <c r="E185" s="53"/>
      <c r="F185" s="53"/>
      <c r="G185" s="53"/>
      <c r="H185" s="53"/>
      <c r="I185" s="8"/>
    </row>
    <row r="186" spans="1:9" ht="24.75" customHeight="1" x14ac:dyDescent="0.35">
      <c r="A186" s="8"/>
      <c r="B186" s="9"/>
      <c r="C186" s="61"/>
      <c r="D186" s="53"/>
      <c r="E186" s="53"/>
      <c r="F186" s="53"/>
      <c r="G186" s="53"/>
      <c r="H186" s="53"/>
      <c r="I186" s="8"/>
    </row>
    <row r="187" spans="1:9" ht="24.75" customHeight="1" x14ac:dyDescent="0.35">
      <c r="A187" s="8"/>
      <c r="B187" s="9"/>
      <c r="C187" s="61"/>
      <c r="D187" s="53"/>
      <c r="E187" s="53"/>
      <c r="F187" s="53"/>
      <c r="G187" s="53"/>
      <c r="H187" s="53"/>
      <c r="I187" s="8"/>
    </row>
    <row r="188" spans="1:9" ht="24.75" customHeight="1" x14ac:dyDescent="0.35">
      <c r="A188" s="8"/>
      <c r="B188" s="9"/>
      <c r="C188" s="61"/>
      <c r="D188" s="53"/>
      <c r="E188" s="53"/>
      <c r="F188" s="53"/>
      <c r="G188" s="53"/>
      <c r="H188" s="53"/>
      <c r="I188" s="8"/>
    </row>
    <row r="189" spans="1:9" ht="24.75" customHeight="1" x14ac:dyDescent="0.35">
      <c r="A189" s="8"/>
      <c r="B189" s="9"/>
      <c r="C189" s="61"/>
      <c r="D189" s="53"/>
      <c r="E189" s="53"/>
      <c r="F189" s="53"/>
      <c r="G189" s="53"/>
      <c r="H189" s="53"/>
      <c r="I189" s="8"/>
    </row>
    <row r="190" spans="1:9" ht="21" customHeight="1" x14ac:dyDescent="0.35">
      <c r="A190" s="57"/>
      <c r="B190" s="58"/>
      <c r="C190" s="64" t="s">
        <v>40</v>
      </c>
      <c r="D190" s="59">
        <f>SUM(D3:D135)</f>
        <v>0</v>
      </c>
      <c r="E190" s="59">
        <f t="shared" ref="E190:F190" si="0">SUM(E3:E135)</f>
        <v>0</v>
      </c>
      <c r="F190" s="59">
        <f t="shared" si="0"/>
        <v>0</v>
      </c>
      <c r="G190" s="59"/>
      <c r="H190" s="59"/>
      <c r="I190" s="57"/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E2D1-A748-48AC-8CB2-E046CE30CFE6}">
  <dimension ref="A1:G16"/>
  <sheetViews>
    <sheetView workbookViewId="0">
      <selection activeCell="F16" sqref="F16"/>
    </sheetView>
  </sheetViews>
  <sheetFormatPr defaultRowHeight="21" customHeight="1" x14ac:dyDescent="0.35"/>
  <cols>
    <col min="1" max="1" width="8.25" style="50" customWidth="1"/>
    <col min="2" max="2" width="10.875" style="55" hidden="1" customWidth="1"/>
    <col min="3" max="3" width="41.5" style="50" customWidth="1"/>
    <col min="4" max="6" width="16.25" style="54" customWidth="1"/>
    <col min="7" max="7" width="21.75" style="50" customWidth="1"/>
    <col min="8" max="16384" width="9" style="50"/>
  </cols>
  <sheetData>
    <row r="1" spans="1:7" ht="21" customHeight="1" x14ac:dyDescent="0.35">
      <c r="A1" s="184" t="s">
        <v>22</v>
      </c>
      <c r="B1" s="184"/>
      <c r="C1" s="184"/>
      <c r="D1" s="184"/>
      <c r="E1" s="184"/>
      <c r="F1" s="184"/>
      <c r="G1" s="184"/>
    </row>
    <row r="2" spans="1:7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7" ht="24.75" customHeight="1" x14ac:dyDescent="0.35">
      <c r="A3" s="49"/>
      <c r="B3" s="9"/>
      <c r="C3" s="107" t="s">
        <v>100</v>
      </c>
      <c r="D3" s="53"/>
      <c r="E3" s="53"/>
      <c r="F3" s="53"/>
      <c r="G3" s="8"/>
    </row>
    <row r="4" spans="1:7" ht="44.25" customHeight="1" x14ac:dyDescent="0.35">
      <c r="A4" s="49"/>
      <c r="B4" s="9"/>
      <c r="C4" s="42" t="s">
        <v>101</v>
      </c>
      <c r="D4" s="53">
        <v>1994000</v>
      </c>
      <c r="E4" s="53">
        <v>1704000</v>
      </c>
      <c r="F4" s="53">
        <v>290000</v>
      </c>
      <c r="G4" s="8"/>
    </row>
    <row r="5" spans="1:7" ht="24.75" customHeight="1" x14ac:dyDescent="0.35">
      <c r="A5" s="48"/>
      <c r="B5" s="9"/>
      <c r="C5" s="8"/>
      <c r="D5" s="53"/>
      <c r="E5" s="53"/>
      <c r="F5" s="53"/>
      <c r="G5" s="8"/>
    </row>
    <row r="6" spans="1:7" ht="24.75" customHeight="1" x14ac:dyDescent="0.35">
      <c r="A6" s="48"/>
      <c r="B6" s="9"/>
      <c r="C6" s="108" t="s">
        <v>102</v>
      </c>
      <c r="D6" s="53"/>
      <c r="E6" s="53"/>
      <c r="F6" s="53"/>
      <c r="G6" s="8"/>
    </row>
    <row r="7" spans="1:7" ht="24.75" customHeight="1" x14ac:dyDescent="0.35">
      <c r="A7" s="48"/>
      <c r="B7" s="9"/>
      <c r="C7" s="8" t="s">
        <v>103</v>
      </c>
      <c r="D7" s="53">
        <v>14451000</v>
      </c>
      <c r="E7" s="53">
        <v>12400000</v>
      </c>
      <c r="F7" s="53">
        <v>2051000</v>
      </c>
      <c r="G7" s="8"/>
    </row>
    <row r="8" spans="1:7" ht="24.75" customHeight="1" x14ac:dyDescent="0.35">
      <c r="A8" s="48"/>
      <c r="B8" s="9"/>
      <c r="C8" s="8"/>
      <c r="D8" s="53"/>
      <c r="E8" s="53"/>
      <c r="F8" s="53"/>
      <c r="G8" s="8"/>
    </row>
    <row r="9" spans="1:7" ht="24.75" customHeight="1" x14ac:dyDescent="0.35">
      <c r="A9" s="48"/>
      <c r="B9" s="9"/>
      <c r="C9" s="8"/>
      <c r="D9" s="53"/>
      <c r="E9" s="53"/>
      <c r="F9" s="53"/>
      <c r="G9" s="8"/>
    </row>
    <row r="10" spans="1:7" ht="24.75" customHeight="1" x14ac:dyDescent="0.35">
      <c r="A10" s="8"/>
      <c r="B10" s="9"/>
      <c r="C10" s="8"/>
      <c r="D10" s="53"/>
      <c r="E10" s="53"/>
      <c r="F10" s="53"/>
      <c r="G10" s="8"/>
    </row>
    <row r="11" spans="1:7" ht="24.75" customHeight="1" x14ac:dyDescent="0.35">
      <c r="A11" s="8"/>
      <c r="B11" s="9"/>
      <c r="C11" s="8"/>
      <c r="D11" s="53"/>
      <c r="E11" s="53"/>
      <c r="F11" s="53"/>
      <c r="G11" s="8"/>
    </row>
    <row r="12" spans="1:7" ht="24.75" customHeight="1" x14ac:dyDescent="0.35">
      <c r="A12" s="8"/>
      <c r="B12" s="9"/>
      <c r="C12" s="8"/>
      <c r="D12" s="53"/>
      <c r="E12" s="53"/>
      <c r="F12" s="53"/>
      <c r="G12" s="8"/>
    </row>
    <row r="13" spans="1:7" ht="24.75" customHeight="1" x14ac:dyDescent="0.35">
      <c r="A13" s="8"/>
      <c r="B13" s="9"/>
      <c r="C13" s="8"/>
      <c r="D13" s="53"/>
      <c r="E13" s="53"/>
      <c r="F13" s="53"/>
      <c r="G13" s="8"/>
    </row>
    <row r="14" spans="1:7" ht="24.75" customHeight="1" x14ac:dyDescent="0.35">
      <c r="A14" s="8"/>
      <c r="B14" s="9"/>
      <c r="C14" s="8"/>
      <c r="D14" s="53"/>
      <c r="E14" s="53"/>
      <c r="F14" s="53"/>
      <c r="G14" s="8"/>
    </row>
    <row r="15" spans="1:7" ht="24.75" customHeight="1" x14ac:dyDescent="0.35">
      <c r="A15" s="8"/>
      <c r="B15" s="9"/>
      <c r="C15" s="8"/>
      <c r="D15" s="53"/>
      <c r="E15" s="53"/>
      <c r="F15" s="53"/>
      <c r="G15" s="8"/>
    </row>
    <row r="16" spans="1:7" ht="21" customHeight="1" x14ac:dyDescent="0.35">
      <c r="A16" s="57"/>
      <c r="B16" s="58"/>
      <c r="C16" s="57" t="s">
        <v>40</v>
      </c>
      <c r="D16" s="59">
        <f>SUM(D3:D15)</f>
        <v>16445000</v>
      </c>
      <c r="E16" s="59">
        <f>SUM(E3:E15)</f>
        <v>14104000</v>
      </c>
      <c r="F16" s="59">
        <f>D16-E16</f>
        <v>2341000</v>
      </c>
      <c r="G16" s="57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"/>
  <sheetViews>
    <sheetView workbookViewId="0">
      <selection activeCell="C3" sqref="C3"/>
    </sheetView>
  </sheetViews>
  <sheetFormatPr defaultRowHeight="21" customHeight="1" x14ac:dyDescent="0.35"/>
  <cols>
    <col min="1" max="1" width="12.5" style="55" customWidth="1"/>
    <col min="2" max="2" width="10.875" style="55" customWidth="1"/>
    <col min="3" max="3" width="38.375" style="50" customWidth="1"/>
    <col min="4" max="6" width="16.5" style="54" customWidth="1"/>
    <col min="7" max="7" width="16.5" style="50" customWidth="1"/>
    <col min="8" max="16384" width="9" style="50"/>
  </cols>
  <sheetData>
    <row r="1" spans="1:7" ht="21" customHeight="1" x14ac:dyDescent="0.35">
      <c r="A1" s="184" t="s">
        <v>30</v>
      </c>
      <c r="B1" s="184"/>
      <c r="C1" s="184"/>
      <c r="D1" s="184"/>
      <c r="E1" s="184"/>
      <c r="F1" s="184"/>
      <c r="G1" s="184"/>
    </row>
    <row r="2" spans="1:7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7" ht="21" customHeight="1" x14ac:dyDescent="0.35">
      <c r="A3" s="105" t="s">
        <v>131</v>
      </c>
      <c r="B3" s="9"/>
      <c r="C3" s="9" t="s">
        <v>76</v>
      </c>
      <c r="D3" s="53"/>
      <c r="E3" s="53"/>
      <c r="F3" s="53"/>
      <c r="G3" s="8"/>
    </row>
    <row r="4" spans="1:7" ht="21" customHeight="1" x14ac:dyDescent="0.35">
      <c r="A4" s="105"/>
      <c r="B4" s="9"/>
      <c r="C4" s="8" t="s">
        <v>79</v>
      </c>
      <c r="D4" s="53"/>
      <c r="E4" s="53"/>
      <c r="F4" s="53"/>
      <c r="G4" s="8"/>
    </row>
    <row r="5" spans="1:7" ht="21" customHeight="1" x14ac:dyDescent="0.35">
      <c r="A5" s="106"/>
      <c r="B5" s="9"/>
      <c r="C5" s="8" t="s">
        <v>80</v>
      </c>
      <c r="D5" s="53"/>
      <c r="E5" s="53"/>
      <c r="F5" s="53"/>
      <c r="G5" s="8"/>
    </row>
    <row r="6" spans="1:7" ht="21" customHeight="1" x14ac:dyDescent="0.35">
      <c r="A6" s="106"/>
      <c r="B6" s="9"/>
      <c r="C6" s="8" t="s">
        <v>81</v>
      </c>
      <c r="D6" s="53"/>
      <c r="E6" s="53"/>
      <c r="F6" s="53"/>
      <c r="G6" s="8"/>
    </row>
    <row r="7" spans="1:7" ht="21" customHeight="1" x14ac:dyDescent="0.35">
      <c r="A7" s="9"/>
      <c r="B7" s="9"/>
      <c r="C7" s="9" t="s">
        <v>77</v>
      </c>
      <c r="D7" s="53"/>
      <c r="E7" s="53"/>
      <c r="F7" s="53">
        <f>D7</f>
        <v>0</v>
      </c>
      <c r="G7" s="8"/>
    </row>
    <row r="8" spans="1:7" ht="21" customHeight="1" x14ac:dyDescent="0.35">
      <c r="A8" s="9"/>
      <c r="B8" s="9"/>
      <c r="C8" s="8" t="s">
        <v>82</v>
      </c>
      <c r="D8" s="53"/>
      <c r="E8" s="53"/>
      <c r="F8" s="53">
        <f>F7-E8</f>
        <v>0</v>
      </c>
      <c r="G8" s="8"/>
    </row>
    <row r="9" spans="1:7" ht="21" customHeight="1" x14ac:dyDescent="0.35">
      <c r="A9" s="106"/>
      <c r="B9" s="9"/>
      <c r="C9" s="8" t="s">
        <v>83</v>
      </c>
      <c r="D9" s="53"/>
      <c r="E9" s="53"/>
      <c r="F9" s="53">
        <f t="shared" ref="F9:F10" si="0">F8-E9</f>
        <v>0</v>
      </c>
      <c r="G9" s="8"/>
    </row>
    <row r="10" spans="1:7" ht="21" customHeight="1" x14ac:dyDescent="0.35">
      <c r="A10" s="106"/>
      <c r="B10" s="9"/>
      <c r="C10" s="8" t="s">
        <v>84</v>
      </c>
      <c r="D10" s="53"/>
      <c r="E10" s="53"/>
      <c r="F10" s="53">
        <f t="shared" si="0"/>
        <v>0</v>
      </c>
      <c r="G10" s="8"/>
    </row>
    <row r="11" spans="1:7" ht="21" customHeight="1" x14ac:dyDescent="0.35">
      <c r="A11" s="106"/>
      <c r="B11" s="9"/>
      <c r="C11" s="9" t="s">
        <v>78</v>
      </c>
      <c r="D11" s="53"/>
      <c r="E11" s="53"/>
      <c r="F11" s="53">
        <f>D11</f>
        <v>0</v>
      </c>
      <c r="G11" s="8"/>
    </row>
    <row r="12" spans="1:7" ht="21" customHeight="1" x14ac:dyDescent="0.35">
      <c r="A12" s="106"/>
      <c r="B12" s="9"/>
      <c r="C12" s="8" t="s">
        <v>85</v>
      </c>
      <c r="D12" s="53"/>
      <c r="E12" s="53"/>
      <c r="F12" s="53">
        <f>F11-E12</f>
        <v>0</v>
      </c>
      <c r="G12" s="8"/>
    </row>
    <row r="13" spans="1:7" ht="21" customHeight="1" x14ac:dyDescent="0.35">
      <c r="A13" s="9"/>
      <c r="B13" s="9"/>
      <c r="C13" s="8" t="s">
        <v>86</v>
      </c>
      <c r="D13" s="53"/>
      <c r="E13" s="53"/>
      <c r="F13" s="53">
        <f t="shared" ref="F13:F18" si="1">F12-E13</f>
        <v>0</v>
      </c>
      <c r="G13" s="8"/>
    </row>
    <row r="14" spans="1:7" ht="21" customHeight="1" x14ac:dyDescent="0.35">
      <c r="A14" s="106"/>
      <c r="B14" s="9"/>
      <c r="C14" s="8" t="s">
        <v>87</v>
      </c>
      <c r="D14" s="53"/>
      <c r="E14" s="53"/>
      <c r="F14" s="53">
        <f t="shared" si="1"/>
        <v>0</v>
      </c>
      <c r="G14" s="8"/>
    </row>
    <row r="15" spans="1:7" ht="21" customHeight="1" x14ac:dyDescent="0.35">
      <c r="A15" s="106"/>
      <c r="B15" s="9"/>
      <c r="C15" s="8" t="s">
        <v>88</v>
      </c>
      <c r="D15" s="53"/>
      <c r="E15" s="53"/>
      <c r="F15" s="53">
        <f t="shared" si="1"/>
        <v>0</v>
      </c>
      <c r="G15" s="8"/>
    </row>
    <row r="16" spans="1:7" ht="21" customHeight="1" x14ac:dyDescent="0.35">
      <c r="A16" s="106"/>
      <c r="B16" s="9"/>
      <c r="C16" s="8" t="s">
        <v>104</v>
      </c>
      <c r="D16" s="53"/>
      <c r="E16" s="53"/>
      <c r="F16" s="53">
        <f t="shared" si="1"/>
        <v>0</v>
      </c>
      <c r="G16" s="8"/>
    </row>
    <row r="17" spans="1:7" ht="21" customHeight="1" x14ac:dyDescent="0.35">
      <c r="A17" s="106"/>
      <c r="B17" s="9"/>
      <c r="C17" s="9"/>
      <c r="D17" s="53"/>
      <c r="E17" s="53"/>
      <c r="F17" s="53">
        <f t="shared" si="1"/>
        <v>0</v>
      </c>
      <c r="G17" s="8"/>
    </row>
    <row r="18" spans="1:7" ht="21" customHeight="1" x14ac:dyDescent="0.35">
      <c r="A18" s="106"/>
      <c r="B18" s="9"/>
      <c r="C18" s="8"/>
      <c r="D18" s="53"/>
      <c r="E18" s="53"/>
      <c r="F18" s="53">
        <f t="shared" si="1"/>
        <v>0</v>
      </c>
      <c r="G18" s="8"/>
    </row>
    <row r="19" spans="1:7" ht="21" customHeight="1" x14ac:dyDescent="0.35">
      <c r="A19" s="58"/>
      <c r="B19" s="58"/>
      <c r="C19" s="57" t="s">
        <v>40</v>
      </c>
      <c r="D19" s="59">
        <f>SUM(D3:D18)</f>
        <v>0</v>
      </c>
      <c r="E19" s="59">
        <f>SUM(E3:E18)</f>
        <v>0</v>
      </c>
      <c r="F19" s="59">
        <f>D19-E19</f>
        <v>0</v>
      </c>
      <c r="G19" s="57"/>
    </row>
  </sheetData>
  <mergeCells count="1">
    <mergeCell ref="A1:G1"/>
  </mergeCells>
  <phoneticPr fontId="15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49BF-07DB-401F-9CB6-0823B131720D}">
  <dimension ref="A1:G24"/>
  <sheetViews>
    <sheetView workbookViewId="0">
      <selection activeCell="F14" sqref="F14"/>
    </sheetView>
  </sheetViews>
  <sheetFormatPr defaultRowHeight="21" customHeight="1" x14ac:dyDescent="0.35"/>
  <cols>
    <col min="1" max="1" width="12.5" style="50" customWidth="1"/>
    <col min="2" max="2" width="10.875" style="55" customWidth="1"/>
    <col min="3" max="3" width="43.625" style="50" customWidth="1"/>
    <col min="4" max="6" width="16.5" style="54" customWidth="1"/>
    <col min="7" max="7" width="16.5" style="50" customWidth="1"/>
    <col min="8" max="16384" width="9" style="50"/>
  </cols>
  <sheetData>
    <row r="1" spans="1:7" ht="21" customHeight="1" x14ac:dyDescent="0.35">
      <c r="A1" s="184" t="s">
        <v>37</v>
      </c>
      <c r="B1" s="184"/>
      <c r="C1" s="184"/>
      <c r="D1" s="184"/>
      <c r="E1" s="184"/>
      <c r="F1" s="184"/>
      <c r="G1" s="184"/>
    </row>
    <row r="2" spans="1:7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7" ht="21" customHeight="1" x14ac:dyDescent="0.35">
      <c r="A3" s="105"/>
      <c r="B3" s="9"/>
      <c r="C3" s="9" t="s">
        <v>76</v>
      </c>
      <c r="D3" s="53"/>
      <c r="E3" s="53"/>
      <c r="F3" s="53">
        <f>D3</f>
        <v>0</v>
      </c>
      <c r="G3" s="8"/>
    </row>
    <row r="4" spans="1:7" ht="21" customHeight="1" x14ac:dyDescent="0.35">
      <c r="A4" s="105"/>
      <c r="B4" s="9"/>
      <c r="C4" s="8" t="s">
        <v>90</v>
      </c>
      <c r="D4" s="53"/>
      <c r="E4" s="53"/>
      <c r="F4" s="53">
        <f>F3-E4</f>
        <v>0</v>
      </c>
      <c r="G4" s="8"/>
    </row>
    <row r="5" spans="1:7" ht="21" customHeight="1" x14ac:dyDescent="0.35">
      <c r="A5" s="106"/>
      <c r="B5" s="9"/>
      <c r="C5" s="8" t="s">
        <v>91</v>
      </c>
      <c r="D5" s="53"/>
      <c r="E5" s="53"/>
      <c r="F5" s="53">
        <f t="shared" ref="F5:F6" si="0">F4-E5</f>
        <v>0</v>
      </c>
      <c r="G5" s="8"/>
    </row>
    <row r="6" spans="1:7" ht="21" customHeight="1" x14ac:dyDescent="0.35">
      <c r="A6" s="106"/>
      <c r="B6" s="9"/>
      <c r="C6" s="8" t="s">
        <v>92</v>
      </c>
      <c r="D6" s="53"/>
      <c r="E6" s="53"/>
      <c r="F6" s="53">
        <f t="shared" si="0"/>
        <v>0</v>
      </c>
      <c r="G6" s="8"/>
    </row>
    <row r="7" spans="1:7" ht="21" customHeight="1" x14ac:dyDescent="0.35">
      <c r="A7" s="9"/>
      <c r="B7" s="9"/>
      <c r="C7" s="9" t="s">
        <v>77</v>
      </c>
      <c r="D7" s="53"/>
      <c r="E7" s="53"/>
      <c r="F7" s="53">
        <f>F6+D7</f>
        <v>0</v>
      </c>
      <c r="G7" s="8"/>
    </row>
    <row r="8" spans="1:7" ht="21" customHeight="1" x14ac:dyDescent="0.35">
      <c r="A8" s="9"/>
      <c r="B8" s="9"/>
      <c r="C8" s="8" t="s">
        <v>93</v>
      </c>
      <c r="D8" s="53"/>
      <c r="E8" s="53"/>
      <c r="F8" s="53">
        <f>F7-E8</f>
        <v>0</v>
      </c>
      <c r="G8" s="8"/>
    </row>
    <row r="9" spans="1:7" ht="21" customHeight="1" x14ac:dyDescent="0.35">
      <c r="A9" s="106"/>
      <c r="B9" s="9"/>
      <c r="C9" s="8" t="s">
        <v>94</v>
      </c>
      <c r="D9" s="53"/>
      <c r="E9" s="53"/>
      <c r="F9" s="53">
        <f t="shared" ref="F9:F12" si="1">F8-E9</f>
        <v>0</v>
      </c>
      <c r="G9" s="8"/>
    </row>
    <row r="10" spans="1:7" ht="21" customHeight="1" x14ac:dyDescent="0.35">
      <c r="A10" s="106"/>
      <c r="B10" s="9"/>
      <c r="C10" s="8" t="s">
        <v>95</v>
      </c>
      <c r="D10" s="53"/>
      <c r="E10" s="53"/>
      <c r="F10" s="53">
        <f t="shared" si="1"/>
        <v>0</v>
      </c>
      <c r="G10" s="8"/>
    </row>
    <row r="11" spans="1:7" ht="21" customHeight="1" x14ac:dyDescent="0.35">
      <c r="A11" s="106"/>
      <c r="B11" s="9"/>
      <c r="C11" s="8" t="s">
        <v>96</v>
      </c>
      <c r="D11" s="53"/>
      <c r="E11" s="53"/>
      <c r="F11" s="53">
        <f t="shared" si="1"/>
        <v>0</v>
      </c>
      <c r="G11" s="8"/>
    </row>
    <row r="12" spans="1:7" ht="21" customHeight="1" x14ac:dyDescent="0.35">
      <c r="A12" s="9"/>
      <c r="B12" s="9"/>
      <c r="C12" s="8" t="s">
        <v>97</v>
      </c>
      <c r="D12" s="53"/>
      <c r="E12" s="53"/>
      <c r="F12" s="66">
        <f t="shared" si="1"/>
        <v>0</v>
      </c>
      <c r="G12" s="8"/>
    </row>
    <row r="13" spans="1:7" ht="21" customHeight="1" x14ac:dyDescent="0.35">
      <c r="A13" s="9"/>
      <c r="B13" s="9"/>
      <c r="C13" s="9" t="s">
        <v>78</v>
      </c>
      <c r="D13" s="53"/>
      <c r="E13" s="53"/>
      <c r="F13" s="53">
        <f>F12+D13</f>
        <v>0</v>
      </c>
      <c r="G13" s="8"/>
    </row>
    <row r="14" spans="1:7" ht="21" customHeight="1" x14ac:dyDescent="0.35">
      <c r="A14" s="106"/>
      <c r="B14" s="9"/>
      <c r="C14" s="8" t="s">
        <v>98</v>
      </c>
      <c r="D14" s="53"/>
      <c r="E14" s="53"/>
      <c r="F14" s="53">
        <f>F13-E14</f>
        <v>0</v>
      </c>
      <c r="G14" s="8"/>
    </row>
    <row r="15" spans="1:7" ht="21" customHeight="1" x14ac:dyDescent="0.35">
      <c r="A15" s="106"/>
      <c r="B15" s="9"/>
      <c r="C15" s="8" t="s">
        <v>89</v>
      </c>
      <c r="D15" s="53"/>
      <c r="E15" s="53"/>
      <c r="F15" s="53">
        <f>F14+D15</f>
        <v>0</v>
      </c>
      <c r="G15" s="8"/>
    </row>
    <row r="16" spans="1:7" ht="21" customHeight="1" x14ac:dyDescent="0.35">
      <c r="A16" s="106"/>
      <c r="B16" s="9"/>
      <c r="C16" s="8" t="s">
        <v>99</v>
      </c>
      <c r="D16" s="53"/>
      <c r="E16" s="53"/>
      <c r="F16" s="53">
        <f>F15-E16</f>
        <v>0</v>
      </c>
      <c r="G16" s="8"/>
    </row>
    <row r="17" spans="1:7" ht="21" customHeight="1" x14ac:dyDescent="0.35">
      <c r="A17" s="106"/>
      <c r="B17" s="9"/>
      <c r="C17" s="8" t="s">
        <v>105</v>
      </c>
      <c r="D17" s="53"/>
      <c r="E17" s="53"/>
      <c r="F17" s="53">
        <f t="shared" ref="F17" si="2">F16-E17</f>
        <v>0</v>
      </c>
      <c r="G17" s="8"/>
    </row>
    <row r="18" spans="1:7" ht="21" customHeight="1" x14ac:dyDescent="0.35">
      <c r="A18" s="48"/>
      <c r="B18" s="9"/>
      <c r="C18" s="8"/>
      <c r="D18" s="53"/>
      <c r="E18" s="53"/>
      <c r="F18" s="53"/>
      <c r="G18" s="8"/>
    </row>
    <row r="19" spans="1:7" ht="21" customHeight="1" x14ac:dyDescent="0.35">
      <c r="A19" s="48"/>
      <c r="B19" s="9"/>
      <c r="C19" s="9"/>
      <c r="D19" s="53"/>
      <c r="E19" s="53"/>
      <c r="F19" s="53"/>
      <c r="G19" s="8"/>
    </row>
    <row r="20" spans="1:7" ht="21" customHeight="1" x14ac:dyDescent="0.35">
      <c r="A20" s="48"/>
      <c r="B20" s="9"/>
      <c r="C20" s="9"/>
      <c r="D20" s="53"/>
      <c r="E20" s="53"/>
      <c r="F20" s="53"/>
      <c r="G20" s="8"/>
    </row>
    <row r="21" spans="1:7" ht="21" customHeight="1" x14ac:dyDescent="0.35">
      <c r="A21" s="48"/>
      <c r="B21" s="9"/>
      <c r="C21" s="9"/>
      <c r="D21" s="53"/>
      <c r="E21" s="53"/>
      <c r="F21" s="53"/>
      <c r="G21" s="8"/>
    </row>
    <row r="22" spans="1:7" ht="21" customHeight="1" x14ac:dyDescent="0.35">
      <c r="A22" s="48"/>
      <c r="B22" s="9"/>
      <c r="C22" s="9"/>
      <c r="D22" s="53"/>
      <c r="E22" s="53"/>
      <c r="F22" s="53"/>
      <c r="G22" s="8"/>
    </row>
    <row r="23" spans="1:7" ht="21" customHeight="1" x14ac:dyDescent="0.35">
      <c r="A23" s="48"/>
      <c r="B23" s="9"/>
      <c r="C23" s="9"/>
      <c r="D23" s="53"/>
      <c r="E23" s="53"/>
      <c r="F23" s="53"/>
      <c r="G23" s="8"/>
    </row>
    <row r="24" spans="1:7" ht="21" customHeight="1" x14ac:dyDescent="0.35">
      <c r="A24" s="57"/>
      <c r="B24" s="58"/>
      <c r="C24" s="57" t="s">
        <v>40</v>
      </c>
      <c r="D24" s="59"/>
      <c r="E24" s="59"/>
      <c r="F24" s="59"/>
      <c r="G24" s="57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421F-8A54-461A-883A-A9B128650125}">
  <dimension ref="A1:L35"/>
  <sheetViews>
    <sheetView workbookViewId="0">
      <pane ySplit="1" topLeftCell="A2" activePane="bottomLeft" state="frozen"/>
      <selection pane="bottomLeft" activeCell="A3" sqref="A3:C3"/>
    </sheetView>
  </sheetViews>
  <sheetFormatPr defaultRowHeight="21" customHeight="1" x14ac:dyDescent="0.35"/>
  <cols>
    <col min="1" max="1" width="10.625" style="50" customWidth="1"/>
    <col min="2" max="2" width="13.125" style="55" customWidth="1"/>
    <col min="3" max="3" width="41.25" style="99" customWidth="1"/>
    <col min="4" max="4" width="12.625" style="54" customWidth="1"/>
    <col min="5" max="5" width="12.625" style="54" hidden="1" customWidth="1"/>
    <col min="6" max="7" width="12.625" style="54" customWidth="1"/>
    <col min="8" max="8" width="12.625" style="81" hidden="1" customWidth="1"/>
    <col min="9" max="9" width="12.625" style="50" customWidth="1"/>
    <col min="10" max="11" width="9" style="50"/>
    <col min="12" max="12" width="9.875" style="50" bestFit="1" customWidth="1"/>
    <col min="13" max="16384" width="9" style="50"/>
  </cols>
  <sheetData>
    <row r="1" spans="1:12" ht="21" customHeight="1" x14ac:dyDescent="0.35">
      <c r="A1" s="184" t="s">
        <v>23</v>
      </c>
      <c r="B1" s="184"/>
      <c r="C1" s="184"/>
      <c r="D1" s="184"/>
      <c r="E1" s="184"/>
      <c r="F1" s="184"/>
      <c r="G1" s="184"/>
      <c r="H1" s="184"/>
      <c r="I1" s="184"/>
    </row>
    <row r="2" spans="1:12" ht="40.5" customHeight="1" x14ac:dyDescent="0.35">
      <c r="A2" s="51" t="s">
        <v>31</v>
      </c>
      <c r="B2" s="76" t="s">
        <v>35</v>
      </c>
      <c r="C2" s="76" t="s">
        <v>32</v>
      </c>
      <c r="D2" s="52" t="s">
        <v>36</v>
      </c>
      <c r="E2" s="52" t="s">
        <v>41</v>
      </c>
      <c r="F2" s="52" t="s">
        <v>42</v>
      </c>
      <c r="G2" s="52" t="s">
        <v>34</v>
      </c>
      <c r="H2" s="78" t="s">
        <v>43</v>
      </c>
      <c r="I2" s="51" t="s">
        <v>5</v>
      </c>
    </row>
    <row r="3" spans="1:12" ht="25.5" customHeight="1" x14ac:dyDescent="0.35">
      <c r="A3" s="49">
        <v>45972</v>
      </c>
      <c r="B3" s="9"/>
      <c r="C3" s="97" t="s">
        <v>136</v>
      </c>
      <c r="D3" s="53">
        <v>203750</v>
      </c>
      <c r="E3" s="53"/>
      <c r="F3" s="53"/>
      <c r="G3" s="53">
        <f>D3</f>
        <v>203750</v>
      </c>
      <c r="H3" s="79"/>
      <c r="I3" s="8"/>
    </row>
    <row r="4" spans="1:12" ht="26.25" customHeight="1" x14ac:dyDescent="0.35">
      <c r="A4" s="49"/>
      <c r="B4" s="9"/>
      <c r="C4" s="91"/>
      <c r="D4" s="67"/>
      <c r="E4" s="67"/>
      <c r="F4" s="67">
        <v>2488</v>
      </c>
      <c r="G4" s="67">
        <f>G3-F4</f>
        <v>201262</v>
      </c>
      <c r="H4" s="170"/>
      <c r="I4" s="8"/>
    </row>
    <row r="5" spans="1:12" ht="26.25" customHeight="1" x14ac:dyDescent="0.35">
      <c r="A5" s="49"/>
      <c r="B5" s="9"/>
      <c r="C5" s="91"/>
      <c r="D5" s="67"/>
      <c r="E5" s="67"/>
      <c r="F5" s="67">
        <v>1584</v>
      </c>
      <c r="G5" s="67">
        <f t="shared" ref="G5:G17" si="0">G4-F5</f>
        <v>199678</v>
      </c>
      <c r="H5" s="170"/>
      <c r="I5" s="8"/>
    </row>
    <row r="6" spans="1:12" ht="26.25" customHeight="1" x14ac:dyDescent="0.35">
      <c r="A6" s="49"/>
      <c r="B6" s="9"/>
      <c r="C6" s="91"/>
      <c r="D6" s="67"/>
      <c r="E6" s="67"/>
      <c r="F6" s="67">
        <v>10730</v>
      </c>
      <c r="G6" s="67">
        <f t="shared" si="0"/>
        <v>188948</v>
      </c>
      <c r="H6" s="170"/>
      <c r="I6" s="8"/>
      <c r="L6" s="75"/>
    </row>
    <row r="7" spans="1:12" ht="26.25" customHeight="1" x14ac:dyDescent="0.35">
      <c r="A7" s="49"/>
      <c r="B7" s="9"/>
      <c r="C7" s="91"/>
      <c r="D7" s="67"/>
      <c r="E7" s="67"/>
      <c r="F7" s="67">
        <v>2400</v>
      </c>
      <c r="G7" s="67">
        <f t="shared" si="0"/>
        <v>186548</v>
      </c>
      <c r="H7" s="170"/>
      <c r="I7" s="8"/>
    </row>
    <row r="8" spans="1:12" ht="26.25" customHeight="1" x14ac:dyDescent="0.35">
      <c r="A8" s="49"/>
      <c r="B8" s="9"/>
      <c r="C8" s="91"/>
      <c r="D8" s="67"/>
      <c r="E8" s="67"/>
      <c r="F8" s="67">
        <v>1300</v>
      </c>
      <c r="G8" s="67">
        <f t="shared" si="0"/>
        <v>185248</v>
      </c>
      <c r="H8" s="170"/>
      <c r="I8" s="8"/>
    </row>
    <row r="9" spans="1:12" ht="26.25" customHeight="1" x14ac:dyDescent="0.35">
      <c r="A9" s="49"/>
      <c r="B9" s="9"/>
      <c r="C9" s="91"/>
      <c r="D9" s="67"/>
      <c r="E9" s="67"/>
      <c r="F9" s="67">
        <v>350</v>
      </c>
      <c r="G9" s="67">
        <f t="shared" si="0"/>
        <v>184898</v>
      </c>
      <c r="H9" s="170"/>
      <c r="I9" s="8"/>
    </row>
    <row r="10" spans="1:12" ht="26.25" customHeight="1" x14ac:dyDescent="0.35">
      <c r="A10" s="49"/>
      <c r="B10" s="9"/>
      <c r="C10" s="91"/>
      <c r="D10" s="67"/>
      <c r="E10" s="67"/>
      <c r="F10" s="67">
        <v>21984</v>
      </c>
      <c r="G10" s="67">
        <f t="shared" si="0"/>
        <v>162914</v>
      </c>
      <c r="H10" s="171"/>
      <c r="I10" s="8"/>
    </row>
    <row r="11" spans="1:12" ht="26.25" customHeight="1" x14ac:dyDescent="0.35">
      <c r="A11" s="48"/>
      <c r="B11" s="9"/>
      <c r="C11" s="91"/>
      <c r="D11" s="67"/>
      <c r="E11" s="67"/>
      <c r="F11" s="67">
        <v>11663.82</v>
      </c>
      <c r="G11" s="67">
        <f t="shared" si="0"/>
        <v>151250.18</v>
      </c>
      <c r="H11" s="170"/>
      <c r="I11" s="8"/>
    </row>
    <row r="12" spans="1:12" ht="26.25" customHeight="1" x14ac:dyDescent="0.35">
      <c r="A12" s="48"/>
      <c r="B12" s="9"/>
      <c r="C12" s="91"/>
      <c r="D12" s="67"/>
      <c r="E12" s="67"/>
      <c r="F12" s="67">
        <v>4200</v>
      </c>
      <c r="G12" s="67">
        <f t="shared" si="0"/>
        <v>147050.18</v>
      </c>
      <c r="H12" s="170"/>
      <c r="I12" s="8"/>
    </row>
    <row r="13" spans="1:12" ht="26.25" customHeight="1" x14ac:dyDescent="0.35">
      <c r="A13" s="48"/>
      <c r="B13" s="9"/>
      <c r="C13" s="91"/>
      <c r="D13" s="67"/>
      <c r="E13" s="67"/>
      <c r="F13" s="67">
        <v>9000</v>
      </c>
      <c r="G13" s="67">
        <f t="shared" si="0"/>
        <v>138050.18</v>
      </c>
      <c r="H13" s="95"/>
      <c r="I13" s="8"/>
    </row>
    <row r="14" spans="1:12" ht="26.25" customHeight="1" x14ac:dyDescent="0.35">
      <c r="A14" s="48"/>
      <c r="B14" s="9"/>
      <c r="C14" s="91"/>
      <c r="D14" s="67"/>
      <c r="E14" s="67"/>
      <c r="F14" s="67"/>
      <c r="G14" s="67">
        <f t="shared" si="0"/>
        <v>138050.18</v>
      </c>
      <c r="H14" s="95"/>
      <c r="I14" s="8"/>
    </row>
    <row r="15" spans="1:12" ht="26.25" customHeight="1" x14ac:dyDescent="0.35">
      <c r="A15" s="48"/>
      <c r="B15" s="9"/>
      <c r="C15" s="91"/>
      <c r="D15" s="67"/>
      <c r="E15" s="67"/>
      <c r="F15" s="67"/>
      <c r="G15" s="67">
        <f t="shared" si="0"/>
        <v>138050.18</v>
      </c>
      <c r="H15" s="95"/>
      <c r="I15" s="8"/>
    </row>
    <row r="16" spans="1:12" ht="26.25" customHeight="1" x14ac:dyDescent="0.35">
      <c r="A16" s="48"/>
      <c r="B16" s="9"/>
      <c r="C16" s="91"/>
      <c r="D16" s="67"/>
      <c r="E16" s="67"/>
      <c r="F16" s="67"/>
      <c r="G16" s="172">
        <f t="shared" si="0"/>
        <v>138050.18</v>
      </c>
      <c r="H16" s="95"/>
      <c r="I16" s="8"/>
    </row>
    <row r="17" spans="1:12" ht="26.25" customHeight="1" x14ac:dyDescent="0.35">
      <c r="A17" s="48"/>
      <c r="B17" s="9"/>
      <c r="C17" s="91"/>
      <c r="D17" s="67"/>
      <c r="E17" s="67"/>
      <c r="F17" s="67"/>
      <c r="G17" s="172">
        <f t="shared" si="0"/>
        <v>138050.18</v>
      </c>
      <c r="H17" s="95"/>
      <c r="I17" s="8"/>
    </row>
    <row r="18" spans="1:12" ht="26.25" customHeight="1" x14ac:dyDescent="0.35">
      <c r="A18" s="48"/>
      <c r="B18" s="9"/>
      <c r="C18" s="7"/>
      <c r="D18" s="67"/>
      <c r="E18" s="67"/>
      <c r="F18" s="67"/>
      <c r="G18" s="67">
        <f>G17+D18</f>
        <v>138050.18</v>
      </c>
      <c r="H18" s="95"/>
      <c r="I18" s="8"/>
    </row>
    <row r="19" spans="1:12" ht="26.25" customHeight="1" x14ac:dyDescent="0.35">
      <c r="A19" s="48"/>
      <c r="B19" s="9"/>
      <c r="C19" s="91"/>
      <c r="D19" s="67"/>
      <c r="E19" s="67"/>
      <c r="F19" s="67"/>
      <c r="G19" s="67">
        <f>G18-F19</f>
        <v>138050.18</v>
      </c>
      <c r="H19" s="95"/>
      <c r="I19" s="8"/>
      <c r="L19" s="75"/>
    </row>
    <row r="20" spans="1:12" ht="26.25" customHeight="1" x14ac:dyDescent="0.35">
      <c r="A20" s="48"/>
      <c r="B20" s="9"/>
      <c r="C20" s="91"/>
      <c r="D20" s="67"/>
      <c r="E20" s="67"/>
      <c r="F20" s="67"/>
      <c r="G20" s="67">
        <f t="shared" ref="G20:G23" si="1">G19-F20</f>
        <v>138050.18</v>
      </c>
      <c r="H20" s="170"/>
      <c r="I20" s="8"/>
    </row>
    <row r="21" spans="1:12" ht="26.25" customHeight="1" x14ac:dyDescent="0.35">
      <c r="A21" s="48"/>
      <c r="B21" s="9"/>
      <c r="C21" s="91"/>
      <c r="D21" s="67"/>
      <c r="E21" s="67"/>
      <c r="F21" s="67"/>
      <c r="G21" s="67">
        <f t="shared" si="1"/>
        <v>138050.18</v>
      </c>
      <c r="H21" s="170"/>
      <c r="I21" s="10"/>
    </row>
    <row r="22" spans="1:12" ht="26.25" customHeight="1" x14ac:dyDescent="0.35">
      <c r="A22" s="8"/>
      <c r="B22" s="9"/>
      <c r="C22" s="91"/>
      <c r="D22" s="67"/>
      <c r="E22" s="67"/>
      <c r="F22" s="67"/>
      <c r="G22" s="67">
        <f t="shared" si="1"/>
        <v>138050.18</v>
      </c>
      <c r="H22" s="170"/>
      <c r="I22" s="8"/>
    </row>
    <row r="23" spans="1:12" ht="26.25" customHeight="1" x14ac:dyDescent="0.35">
      <c r="A23" s="8"/>
      <c r="B23" s="9"/>
      <c r="C23" s="91"/>
      <c r="D23" s="67"/>
      <c r="E23" s="67"/>
      <c r="F23" s="67"/>
      <c r="G23" s="67">
        <f t="shared" si="1"/>
        <v>138050.18</v>
      </c>
      <c r="H23" s="170"/>
      <c r="I23" s="8"/>
    </row>
    <row r="24" spans="1:12" ht="26.25" customHeight="1" x14ac:dyDescent="0.35">
      <c r="A24" s="48"/>
      <c r="B24" s="9"/>
      <c r="C24" s="7"/>
      <c r="D24" s="67"/>
      <c r="E24" s="67"/>
      <c r="F24" s="67"/>
      <c r="G24" s="67">
        <f>G23+D24</f>
        <v>138050.18</v>
      </c>
      <c r="H24" s="170"/>
      <c r="I24" s="8"/>
    </row>
    <row r="25" spans="1:12" ht="26.25" customHeight="1" x14ac:dyDescent="0.35">
      <c r="A25" s="8"/>
      <c r="B25" s="9"/>
      <c r="C25" s="91"/>
      <c r="D25" s="67"/>
      <c r="E25" s="67"/>
      <c r="F25" s="67"/>
      <c r="G25" s="67">
        <f>G24-F25</f>
        <v>138050.18</v>
      </c>
      <c r="H25" s="170"/>
      <c r="I25" s="8"/>
    </row>
    <row r="26" spans="1:12" ht="26.25" customHeight="1" x14ac:dyDescent="0.35">
      <c r="A26" s="8"/>
      <c r="B26" s="9"/>
      <c r="C26" s="7"/>
      <c r="D26" s="67"/>
      <c r="E26" s="67"/>
      <c r="F26" s="67"/>
      <c r="G26" s="67"/>
      <c r="H26" s="170"/>
      <c r="I26" s="8"/>
    </row>
    <row r="27" spans="1:12" ht="26.25" customHeight="1" x14ac:dyDescent="0.35">
      <c r="A27" s="48"/>
      <c r="B27" s="9"/>
      <c r="C27" s="91"/>
      <c r="D27" s="67"/>
      <c r="E27" s="67"/>
      <c r="F27" s="67"/>
      <c r="G27" s="67"/>
      <c r="H27" s="170"/>
      <c r="I27" s="8"/>
    </row>
    <row r="28" spans="1:12" ht="26.25" customHeight="1" x14ac:dyDescent="0.35">
      <c r="A28" s="48"/>
      <c r="B28" s="9"/>
      <c r="C28" s="91"/>
      <c r="D28" s="67"/>
      <c r="E28" s="67"/>
      <c r="F28" s="67"/>
      <c r="G28" s="67"/>
      <c r="H28" s="95"/>
      <c r="I28" s="8"/>
    </row>
    <row r="29" spans="1:12" ht="26.25" customHeight="1" x14ac:dyDescent="0.35">
      <c r="A29" s="48"/>
      <c r="B29" s="9"/>
      <c r="C29" s="91"/>
      <c r="D29" s="67"/>
      <c r="E29" s="67"/>
      <c r="F29" s="67"/>
      <c r="G29" s="67"/>
      <c r="H29" s="95"/>
      <c r="I29" s="8"/>
    </row>
    <row r="30" spans="1:12" ht="26.25" customHeight="1" x14ac:dyDescent="0.35">
      <c r="A30" s="48"/>
      <c r="B30" s="9"/>
      <c r="C30" s="91"/>
      <c r="D30" s="67"/>
      <c r="E30" s="67"/>
      <c r="F30" s="67"/>
      <c r="G30" s="67"/>
      <c r="H30" s="95"/>
      <c r="I30" s="8"/>
    </row>
    <row r="31" spans="1:12" ht="26.25" customHeight="1" x14ac:dyDescent="0.35">
      <c r="A31" s="8"/>
      <c r="B31" s="9"/>
      <c r="C31" s="91"/>
      <c r="D31" s="67"/>
      <c r="E31" s="67"/>
      <c r="F31" s="67"/>
      <c r="G31" s="67"/>
      <c r="H31" s="95"/>
      <c r="I31" s="8"/>
    </row>
    <row r="32" spans="1:12" ht="26.25" customHeight="1" x14ac:dyDescent="0.35">
      <c r="A32" s="8"/>
      <c r="B32" s="9"/>
      <c r="C32" s="91"/>
      <c r="D32" s="67"/>
      <c r="E32" s="67"/>
      <c r="F32" s="67"/>
      <c r="G32" s="67"/>
      <c r="H32" s="170"/>
      <c r="I32" s="8"/>
    </row>
    <row r="33" spans="1:9" ht="26.25" customHeight="1" x14ac:dyDescent="0.35">
      <c r="A33" s="8"/>
      <c r="B33" s="9"/>
      <c r="C33" s="91"/>
      <c r="D33" s="67"/>
      <c r="E33" s="67"/>
      <c r="F33" s="67"/>
      <c r="G33" s="67"/>
      <c r="H33" s="170"/>
      <c r="I33" s="8"/>
    </row>
    <row r="34" spans="1:9" ht="25.5" customHeight="1" x14ac:dyDescent="0.35">
      <c r="A34" s="8"/>
      <c r="B34" s="9"/>
      <c r="C34" s="96"/>
      <c r="D34" s="53"/>
      <c r="E34" s="53"/>
      <c r="F34" s="53"/>
      <c r="G34" s="53"/>
      <c r="H34" s="79"/>
      <c r="I34" s="8"/>
    </row>
    <row r="35" spans="1:9" ht="21" customHeight="1" x14ac:dyDescent="0.35">
      <c r="A35" s="57"/>
      <c r="B35" s="58"/>
      <c r="C35" s="98" t="s">
        <v>40</v>
      </c>
      <c r="D35" s="59">
        <f>SUM(D3:D34)</f>
        <v>203750</v>
      </c>
      <c r="E35" s="59">
        <f t="shared" ref="E35:F35" si="2">SUM(E3:E34)</f>
        <v>0</v>
      </c>
      <c r="F35" s="59">
        <f t="shared" si="2"/>
        <v>65699.820000000007</v>
      </c>
      <c r="G35" s="59"/>
      <c r="H35" s="80"/>
      <c r="I35" s="57"/>
    </row>
  </sheetData>
  <mergeCells count="1">
    <mergeCell ref="A1:I1"/>
  </mergeCells>
  <printOptions horizontalCentered="1"/>
  <pageMargins left="0.5" right="0.5" top="0.5" bottom="0.5" header="0.3" footer="0.3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A8A5-2212-47DF-9508-D46CAE0AB904}">
  <dimension ref="A1:H50"/>
  <sheetViews>
    <sheetView workbookViewId="0">
      <selection activeCell="F8" sqref="F8"/>
    </sheetView>
  </sheetViews>
  <sheetFormatPr defaultRowHeight="21" customHeight="1" x14ac:dyDescent="0.35"/>
  <cols>
    <col min="1" max="1" width="12.5" style="65" customWidth="1"/>
    <col min="2" max="2" width="10.875" style="74" customWidth="1"/>
    <col min="3" max="3" width="37.625" style="65" customWidth="1"/>
    <col min="4" max="4" width="15.625" style="54" customWidth="1"/>
    <col min="5" max="5" width="15.625" style="54" hidden="1" customWidth="1"/>
    <col min="6" max="7" width="15.625" style="54" customWidth="1"/>
    <col min="8" max="8" width="15.625" style="50" customWidth="1"/>
    <col min="9" max="16384" width="9" style="50"/>
  </cols>
  <sheetData>
    <row r="1" spans="1:8" ht="21" customHeight="1" x14ac:dyDescent="0.35">
      <c r="A1" s="184" t="s">
        <v>24</v>
      </c>
      <c r="B1" s="184"/>
      <c r="C1" s="184"/>
      <c r="D1" s="184"/>
      <c r="E1" s="184"/>
      <c r="F1" s="184"/>
      <c r="G1" s="184"/>
      <c r="H1" s="184"/>
    </row>
    <row r="2" spans="1:8" ht="40.5" customHeight="1" x14ac:dyDescent="0.35">
      <c r="A2" s="62" t="s">
        <v>31</v>
      </c>
      <c r="B2" s="62" t="s">
        <v>35</v>
      </c>
      <c r="C2" s="62" t="s">
        <v>32</v>
      </c>
      <c r="D2" s="52" t="s">
        <v>36</v>
      </c>
      <c r="E2" s="52" t="s">
        <v>41</v>
      </c>
      <c r="F2" s="52" t="s">
        <v>42</v>
      </c>
      <c r="G2" s="52" t="s">
        <v>34</v>
      </c>
      <c r="H2" s="51" t="s">
        <v>5</v>
      </c>
    </row>
    <row r="3" spans="1:8" ht="25.5" customHeight="1" x14ac:dyDescent="0.35">
      <c r="A3" s="49">
        <v>45972</v>
      </c>
      <c r="B3" s="9"/>
      <c r="C3" s="97" t="s">
        <v>136</v>
      </c>
      <c r="D3" s="53">
        <v>277600</v>
      </c>
      <c r="E3" s="53"/>
      <c r="F3" s="53"/>
      <c r="G3" s="53">
        <f>D3</f>
        <v>277600</v>
      </c>
      <c r="H3" s="8"/>
    </row>
    <row r="4" spans="1:8" ht="25.5" customHeight="1" x14ac:dyDescent="0.35">
      <c r="A4" s="70"/>
      <c r="B4" s="63"/>
      <c r="C4" s="42"/>
      <c r="D4" s="53"/>
      <c r="E4" s="53"/>
      <c r="F4" s="53">
        <v>160000</v>
      </c>
      <c r="G4" s="53">
        <f>G3-F4</f>
        <v>117600</v>
      </c>
      <c r="H4" s="8"/>
    </row>
    <row r="5" spans="1:8" ht="25.5" customHeight="1" x14ac:dyDescent="0.35">
      <c r="A5" s="71"/>
      <c r="B5" s="63"/>
      <c r="C5" s="42"/>
      <c r="D5" s="53"/>
      <c r="E5" s="53"/>
      <c r="F5" s="53">
        <v>70000</v>
      </c>
      <c r="G5" s="53">
        <f t="shared" ref="G5:G18" si="0">G4-F5</f>
        <v>47600</v>
      </c>
      <c r="H5" s="8"/>
    </row>
    <row r="6" spans="1:8" ht="25.5" customHeight="1" x14ac:dyDescent="0.35">
      <c r="A6" s="71"/>
      <c r="B6" s="63"/>
      <c r="C6" s="61"/>
      <c r="D6" s="53"/>
      <c r="E6" s="53"/>
      <c r="F6" s="53">
        <v>22770</v>
      </c>
      <c r="G6" s="53">
        <f t="shared" si="0"/>
        <v>24830</v>
      </c>
      <c r="H6" s="8"/>
    </row>
    <row r="7" spans="1:8" ht="25.5" customHeight="1" x14ac:dyDescent="0.35">
      <c r="A7" s="71"/>
      <c r="B7" s="63"/>
      <c r="C7" s="61"/>
      <c r="D7" s="53"/>
      <c r="E7" s="53"/>
      <c r="F7" s="53">
        <v>5880</v>
      </c>
      <c r="G7" s="53">
        <f t="shared" si="0"/>
        <v>18950</v>
      </c>
      <c r="H7" s="8"/>
    </row>
    <row r="8" spans="1:8" ht="25.5" customHeight="1" x14ac:dyDescent="0.35">
      <c r="A8" s="71"/>
      <c r="B8" s="63"/>
      <c r="C8" s="42"/>
      <c r="D8" s="53"/>
      <c r="E8" s="53"/>
      <c r="F8" s="53"/>
      <c r="G8" s="53">
        <f t="shared" si="0"/>
        <v>18950</v>
      </c>
      <c r="H8" s="8"/>
    </row>
    <row r="9" spans="1:8" ht="25.5" customHeight="1" x14ac:dyDescent="0.35">
      <c r="A9" s="71"/>
      <c r="B9" s="63"/>
      <c r="C9" s="61"/>
      <c r="D9" s="53"/>
      <c r="E9" s="53"/>
      <c r="F9" s="53"/>
      <c r="G9" s="53">
        <f t="shared" si="0"/>
        <v>18950</v>
      </c>
      <c r="H9" s="8"/>
    </row>
    <row r="10" spans="1:8" ht="25.5" customHeight="1" x14ac:dyDescent="0.35">
      <c r="A10" s="71"/>
      <c r="B10" s="63"/>
      <c r="C10" s="61"/>
      <c r="D10" s="53"/>
      <c r="E10" s="53"/>
      <c r="F10" s="53"/>
      <c r="G10" s="53">
        <f t="shared" si="0"/>
        <v>18950</v>
      </c>
      <c r="H10" s="8"/>
    </row>
    <row r="11" spans="1:8" ht="25.5" customHeight="1" x14ac:dyDescent="0.35">
      <c r="A11" s="71"/>
      <c r="B11" s="63"/>
      <c r="C11" s="42"/>
      <c r="D11" s="53"/>
      <c r="E11" s="53"/>
      <c r="F11" s="53"/>
      <c r="G11" s="53">
        <f t="shared" si="0"/>
        <v>18950</v>
      </c>
      <c r="H11" s="8"/>
    </row>
    <row r="12" spans="1:8" ht="25.5" customHeight="1" x14ac:dyDescent="0.35">
      <c r="A12" s="71"/>
      <c r="B12" s="63"/>
      <c r="C12" s="61"/>
      <c r="D12" s="53"/>
      <c r="E12" s="53"/>
      <c r="F12" s="53"/>
      <c r="G12" s="53">
        <f t="shared" si="0"/>
        <v>18950</v>
      </c>
      <c r="H12" s="8"/>
    </row>
    <row r="13" spans="1:8" ht="25.5" customHeight="1" x14ac:dyDescent="0.35">
      <c r="A13" s="72"/>
      <c r="B13" s="63"/>
      <c r="C13" s="42"/>
      <c r="D13" s="53"/>
      <c r="E13" s="53"/>
      <c r="F13" s="53"/>
      <c r="G13" s="53">
        <f t="shared" si="0"/>
        <v>18950</v>
      </c>
      <c r="H13" s="8"/>
    </row>
    <row r="14" spans="1:8" ht="25.5" customHeight="1" x14ac:dyDescent="0.35">
      <c r="A14" s="72"/>
      <c r="B14" s="63"/>
      <c r="C14" s="42"/>
      <c r="D14" s="53"/>
      <c r="E14" s="53"/>
      <c r="F14" s="53"/>
      <c r="G14" s="53">
        <f t="shared" si="0"/>
        <v>18950</v>
      </c>
      <c r="H14" s="8"/>
    </row>
    <row r="15" spans="1:8" ht="25.5" customHeight="1" x14ac:dyDescent="0.35">
      <c r="A15" s="72"/>
      <c r="B15" s="63"/>
      <c r="C15" s="61"/>
      <c r="D15" s="67"/>
      <c r="E15" s="67"/>
      <c r="F15" s="67"/>
      <c r="G15" s="53">
        <f t="shared" si="0"/>
        <v>18950</v>
      </c>
      <c r="H15" s="8"/>
    </row>
    <row r="16" spans="1:8" ht="25.5" customHeight="1" x14ac:dyDescent="0.35">
      <c r="A16" s="61"/>
      <c r="B16" s="63"/>
      <c r="C16" s="61"/>
      <c r="D16" s="53"/>
      <c r="E16" s="53"/>
      <c r="F16" s="53"/>
      <c r="G16" s="53">
        <f t="shared" si="0"/>
        <v>18950</v>
      </c>
      <c r="H16" s="8"/>
    </row>
    <row r="17" spans="1:8" ht="25.5" customHeight="1" x14ac:dyDescent="0.35">
      <c r="A17" s="48"/>
      <c r="B17" s="9"/>
      <c r="C17" s="56"/>
      <c r="D17" s="53"/>
      <c r="E17" s="53"/>
      <c r="F17" s="53"/>
      <c r="G17" s="53">
        <f t="shared" si="0"/>
        <v>18950</v>
      </c>
      <c r="H17" s="8"/>
    </row>
    <row r="18" spans="1:8" ht="25.5" customHeight="1" x14ac:dyDescent="0.35">
      <c r="A18" s="48"/>
      <c r="B18" s="9"/>
      <c r="C18" s="8"/>
      <c r="D18" s="53"/>
      <c r="E18" s="53"/>
      <c r="F18" s="53"/>
      <c r="G18" s="53">
        <f t="shared" si="0"/>
        <v>18950</v>
      </c>
      <c r="H18" s="8"/>
    </row>
    <row r="19" spans="1:8" ht="25.5" customHeight="1" x14ac:dyDescent="0.35">
      <c r="A19" s="48"/>
      <c r="B19" s="9"/>
      <c r="C19" s="8"/>
      <c r="D19" s="53"/>
      <c r="E19" s="53"/>
      <c r="F19" s="53"/>
      <c r="G19" s="53">
        <f>G18+D19</f>
        <v>18950</v>
      </c>
      <c r="H19" s="8"/>
    </row>
    <row r="20" spans="1:8" ht="25.5" customHeight="1" x14ac:dyDescent="0.35">
      <c r="A20" s="48"/>
      <c r="B20" s="9"/>
      <c r="C20" s="8"/>
      <c r="D20" s="53"/>
      <c r="E20" s="53"/>
      <c r="F20" s="53"/>
      <c r="G20" s="53">
        <f>G19-F20</f>
        <v>18950</v>
      </c>
      <c r="H20" s="8"/>
    </row>
    <row r="21" spans="1:8" ht="25.5" customHeight="1" x14ac:dyDescent="0.35">
      <c r="A21" s="71"/>
      <c r="B21" s="63"/>
      <c r="C21" s="42"/>
      <c r="D21" s="53"/>
      <c r="E21" s="53"/>
      <c r="F21" s="53"/>
      <c r="G21" s="53">
        <f t="shared" ref="G21:G23" si="1">G20-F21</f>
        <v>18950</v>
      </c>
      <c r="H21" s="8"/>
    </row>
    <row r="22" spans="1:8" ht="25.5" customHeight="1" x14ac:dyDescent="0.35">
      <c r="A22" s="71"/>
      <c r="B22" s="63"/>
      <c r="C22" s="63"/>
      <c r="D22" s="53"/>
      <c r="E22" s="53"/>
      <c r="F22" s="53"/>
      <c r="G22" s="53">
        <f t="shared" si="1"/>
        <v>18950</v>
      </c>
      <c r="H22" s="8"/>
    </row>
    <row r="23" spans="1:8" ht="25.5" customHeight="1" x14ac:dyDescent="0.35">
      <c r="A23" s="61"/>
      <c r="B23" s="63"/>
      <c r="C23" s="61"/>
      <c r="D23" s="53"/>
      <c r="E23" s="53"/>
      <c r="F23" s="53"/>
      <c r="G23" s="53">
        <f t="shared" si="1"/>
        <v>18950</v>
      </c>
      <c r="H23" s="8"/>
    </row>
    <row r="24" spans="1:8" ht="25.5" customHeight="1" x14ac:dyDescent="0.35">
      <c r="A24" s="61"/>
      <c r="B24" s="63"/>
      <c r="C24" s="61"/>
      <c r="D24" s="53"/>
      <c r="E24" s="53"/>
      <c r="F24" s="53"/>
      <c r="G24" s="53">
        <f>G23+D24</f>
        <v>18950</v>
      </c>
      <c r="H24" s="8"/>
    </row>
    <row r="25" spans="1:8" ht="25.5" customHeight="1" x14ac:dyDescent="0.35">
      <c r="A25" s="61"/>
      <c r="B25" s="63"/>
      <c r="C25" s="63"/>
      <c r="D25" s="53"/>
      <c r="E25" s="53"/>
      <c r="F25" s="53"/>
      <c r="G25" s="53">
        <f>G24-F25</f>
        <v>18950</v>
      </c>
      <c r="H25" s="8"/>
    </row>
    <row r="26" spans="1:8" ht="25.5" customHeight="1" x14ac:dyDescent="0.35">
      <c r="A26" s="61"/>
      <c r="B26" s="63"/>
      <c r="C26" s="61"/>
      <c r="D26" s="53"/>
      <c r="E26" s="53"/>
      <c r="F26" s="53"/>
      <c r="G26" s="53">
        <f t="shared" ref="G26:G28" si="2">G25-F26</f>
        <v>18950</v>
      </c>
      <c r="H26" s="8"/>
    </row>
    <row r="27" spans="1:8" ht="25.5" customHeight="1" x14ac:dyDescent="0.35">
      <c r="A27" s="61"/>
      <c r="B27" s="63"/>
      <c r="C27" s="61"/>
      <c r="D27" s="53"/>
      <c r="E27" s="53"/>
      <c r="F27" s="53"/>
      <c r="G27" s="53">
        <f t="shared" si="2"/>
        <v>18950</v>
      </c>
      <c r="H27" s="8"/>
    </row>
    <row r="28" spans="1:8" ht="25.5" customHeight="1" x14ac:dyDescent="0.35">
      <c r="A28" s="61"/>
      <c r="B28" s="63"/>
      <c r="C28" s="42"/>
      <c r="D28" s="53"/>
      <c r="E28" s="53"/>
      <c r="F28" s="53"/>
      <c r="G28" s="53">
        <f t="shared" si="2"/>
        <v>18950</v>
      </c>
      <c r="H28" s="8"/>
    </row>
    <row r="29" spans="1:8" ht="25.5" customHeight="1" x14ac:dyDescent="0.35">
      <c r="A29" s="61"/>
      <c r="B29" s="63"/>
      <c r="C29" s="61"/>
      <c r="D29" s="53"/>
      <c r="E29" s="53"/>
      <c r="F29" s="53"/>
      <c r="G29" s="53">
        <f>G28+D29</f>
        <v>18950</v>
      </c>
      <c r="H29" s="8"/>
    </row>
    <row r="30" spans="1:8" ht="25.5" customHeight="1" x14ac:dyDescent="0.35">
      <c r="A30" s="61"/>
      <c r="B30" s="63"/>
      <c r="C30" s="61"/>
      <c r="D30" s="53"/>
      <c r="E30" s="53"/>
      <c r="F30" s="53"/>
      <c r="G30" s="53">
        <f>G29-F30</f>
        <v>18950</v>
      </c>
      <c r="H30" s="8"/>
    </row>
    <row r="31" spans="1:8" ht="25.5" customHeight="1" x14ac:dyDescent="0.35">
      <c r="A31" s="61"/>
      <c r="B31" s="63"/>
      <c r="C31" s="61"/>
      <c r="D31" s="53"/>
      <c r="E31" s="53"/>
      <c r="F31" s="53"/>
      <c r="G31" s="53">
        <f>G30+D31</f>
        <v>18950</v>
      </c>
      <c r="H31" s="8"/>
    </row>
    <row r="32" spans="1:8" ht="25.5" customHeight="1" x14ac:dyDescent="0.35">
      <c r="A32" s="61"/>
      <c r="B32" s="63"/>
      <c r="C32" s="61"/>
      <c r="D32" s="53"/>
      <c r="E32" s="53"/>
      <c r="F32" s="53"/>
      <c r="G32" s="53">
        <f>G31-F32</f>
        <v>18950</v>
      </c>
      <c r="H32" s="8"/>
    </row>
    <row r="33" spans="1:8" ht="25.5" customHeight="1" x14ac:dyDescent="0.35">
      <c r="A33" s="61"/>
      <c r="B33" s="63"/>
      <c r="C33" s="61"/>
      <c r="D33" s="53"/>
      <c r="E33" s="53"/>
      <c r="F33" s="53"/>
      <c r="G33" s="53">
        <f t="shared" ref="G33:G35" si="3">G32-F33</f>
        <v>18950</v>
      </c>
      <c r="H33" s="8"/>
    </row>
    <row r="34" spans="1:8" ht="25.5" customHeight="1" x14ac:dyDescent="0.35">
      <c r="A34" s="61"/>
      <c r="B34" s="63"/>
      <c r="C34" s="42"/>
      <c r="D34" s="53"/>
      <c r="E34" s="53"/>
      <c r="F34" s="53"/>
      <c r="G34" s="53">
        <f t="shared" si="3"/>
        <v>18950</v>
      </c>
      <c r="H34" s="8"/>
    </row>
    <row r="35" spans="1:8" ht="25.5" customHeight="1" x14ac:dyDescent="0.35">
      <c r="A35" s="61"/>
      <c r="B35" s="63"/>
      <c r="C35" s="61"/>
      <c r="D35" s="53"/>
      <c r="E35" s="53"/>
      <c r="F35" s="53"/>
      <c r="G35" s="53">
        <f t="shared" si="3"/>
        <v>18950</v>
      </c>
      <c r="H35" s="8"/>
    </row>
    <row r="36" spans="1:8" ht="25.5" customHeight="1" x14ac:dyDescent="0.35">
      <c r="A36" s="71"/>
      <c r="B36" s="63"/>
      <c r="C36" s="61"/>
      <c r="D36" s="53"/>
      <c r="E36" s="53"/>
      <c r="F36" s="53"/>
      <c r="G36" s="53"/>
      <c r="H36" s="8"/>
    </row>
    <row r="37" spans="1:8" ht="25.5" customHeight="1" x14ac:dyDescent="0.35">
      <c r="A37" s="61"/>
      <c r="B37" s="63"/>
      <c r="C37" s="61"/>
      <c r="D37" s="53"/>
      <c r="E37" s="53"/>
      <c r="F37" s="53"/>
      <c r="G37" s="53"/>
      <c r="H37" s="8"/>
    </row>
    <row r="38" spans="1:8" ht="25.5" customHeight="1" x14ac:dyDescent="0.35">
      <c r="A38" s="61"/>
      <c r="B38" s="63"/>
      <c r="C38" s="61"/>
      <c r="D38" s="53"/>
      <c r="E38" s="53"/>
      <c r="F38" s="53"/>
      <c r="G38" s="53"/>
      <c r="H38" s="8"/>
    </row>
    <row r="39" spans="1:8" ht="21" customHeight="1" x14ac:dyDescent="0.35">
      <c r="A39" s="64"/>
      <c r="B39" s="73"/>
      <c r="C39" s="73" t="s">
        <v>40</v>
      </c>
      <c r="D39" s="59">
        <f>SUM(D3:D38)</f>
        <v>277600</v>
      </c>
      <c r="E39" s="59"/>
      <c r="F39" s="59"/>
      <c r="G39" s="59"/>
      <c r="H39" s="57"/>
    </row>
    <row r="43" spans="1:8" ht="21" customHeight="1" x14ac:dyDescent="0.35">
      <c r="C43" s="77"/>
    </row>
    <row r="44" spans="1:8" ht="21" customHeight="1" x14ac:dyDescent="0.35">
      <c r="C44" s="77"/>
    </row>
    <row r="45" spans="1:8" ht="21" customHeight="1" x14ac:dyDescent="0.35">
      <c r="C45" s="77"/>
    </row>
    <row r="46" spans="1:8" ht="21" customHeight="1" x14ac:dyDescent="0.35">
      <c r="C46" s="77"/>
    </row>
    <row r="47" spans="1:8" ht="21" customHeight="1" x14ac:dyDescent="0.35">
      <c r="C47" s="77"/>
    </row>
    <row r="48" spans="1:8" ht="21" customHeight="1" x14ac:dyDescent="0.35">
      <c r="C48" s="77"/>
    </row>
    <row r="49" spans="3:3" ht="21" customHeight="1" x14ac:dyDescent="0.35">
      <c r="C49" s="77"/>
    </row>
    <row r="50" spans="3:3" ht="21" customHeight="1" x14ac:dyDescent="0.35">
      <c r="C50" s="77"/>
    </row>
  </sheetData>
  <mergeCells count="1">
    <mergeCell ref="A1:H1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5868-80FD-4C52-BD59-195F4F608CA0}">
  <dimension ref="A1:K12"/>
  <sheetViews>
    <sheetView workbookViewId="0">
      <selection activeCell="K6" sqref="K6"/>
    </sheetView>
  </sheetViews>
  <sheetFormatPr defaultRowHeight="21" customHeight="1" x14ac:dyDescent="0.35"/>
  <cols>
    <col min="1" max="1" width="10.5" style="50" customWidth="1"/>
    <col min="2" max="2" width="9.625" style="55" customWidth="1"/>
    <col min="3" max="3" width="40.75" style="50" customWidth="1"/>
    <col min="4" max="6" width="14.25" style="54" customWidth="1"/>
    <col min="7" max="7" width="14.25" style="50" customWidth="1"/>
    <col min="8" max="10" width="9" style="50"/>
    <col min="11" max="11" width="9.875" style="50" bestFit="1" customWidth="1"/>
    <col min="12" max="16384" width="9" style="50"/>
  </cols>
  <sheetData>
    <row r="1" spans="1:11" ht="21" customHeight="1" x14ac:dyDescent="0.35">
      <c r="A1" s="184" t="s">
        <v>47</v>
      </c>
      <c r="B1" s="184"/>
      <c r="C1" s="184"/>
      <c r="D1" s="184"/>
      <c r="E1" s="184"/>
      <c r="F1" s="184"/>
      <c r="G1" s="184"/>
    </row>
    <row r="2" spans="1:11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11" ht="22.5" customHeight="1" x14ac:dyDescent="0.35">
      <c r="A3" s="49"/>
      <c r="B3" s="9"/>
      <c r="C3" s="9"/>
      <c r="D3" s="53"/>
      <c r="E3" s="53"/>
      <c r="F3" s="53"/>
      <c r="G3" s="8"/>
    </row>
    <row r="4" spans="1:11" ht="22.5" customHeight="1" x14ac:dyDescent="0.35">
      <c r="A4" s="49"/>
      <c r="B4" s="9"/>
      <c r="C4" s="8"/>
      <c r="D4" s="53"/>
      <c r="E4" s="53"/>
      <c r="F4" s="53"/>
      <c r="G4" s="8"/>
    </row>
    <row r="5" spans="1:11" ht="22.5" customHeight="1" x14ac:dyDescent="0.35">
      <c r="A5" s="48"/>
      <c r="B5" s="9"/>
      <c r="C5" s="8"/>
      <c r="D5" s="53"/>
      <c r="E5" s="53"/>
      <c r="F5" s="53"/>
      <c r="G5" s="8"/>
    </row>
    <row r="6" spans="1:11" ht="22.5" customHeight="1" x14ac:dyDescent="0.35">
      <c r="A6" s="48"/>
      <c r="B6" s="9"/>
      <c r="C6" s="8"/>
      <c r="D6" s="53"/>
      <c r="E6" s="53"/>
      <c r="F6" s="53"/>
      <c r="G6" s="8"/>
      <c r="K6" s="75"/>
    </row>
    <row r="7" spans="1:11" ht="22.5" customHeight="1" x14ac:dyDescent="0.35">
      <c r="A7" s="48"/>
      <c r="B7" s="9"/>
      <c r="C7" s="56"/>
      <c r="D7" s="53"/>
      <c r="E7" s="53"/>
      <c r="F7" s="53"/>
      <c r="G7" s="8"/>
    </row>
    <row r="8" spans="1:11" ht="22.5" customHeight="1" x14ac:dyDescent="0.35">
      <c r="A8" s="48"/>
      <c r="B8" s="9"/>
      <c r="C8" s="56"/>
      <c r="D8" s="53"/>
      <c r="E8" s="53"/>
      <c r="F8" s="53"/>
      <c r="G8" s="8"/>
    </row>
    <row r="9" spans="1:11" ht="21" customHeight="1" x14ac:dyDescent="0.35">
      <c r="A9" s="8"/>
      <c r="B9" s="9"/>
      <c r="C9" s="8"/>
      <c r="D9" s="53"/>
      <c r="E9" s="53"/>
      <c r="F9" s="53"/>
      <c r="G9" s="8"/>
    </row>
    <row r="10" spans="1:11" ht="21" customHeight="1" x14ac:dyDescent="0.35">
      <c r="A10" s="8"/>
      <c r="B10" s="9"/>
      <c r="C10" s="8"/>
      <c r="D10" s="53"/>
      <c r="E10" s="53"/>
      <c r="F10" s="53"/>
      <c r="G10" s="8"/>
    </row>
    <row r="11" spans="1:11" ht="21" customHeight="1" x14ac:dyDescent="0.35">
      <c r="A11" s="8"/>
      <c r="B11" s="9"/>
      <c r="C11" s="8"/>
      <c r="D11" s="53"/>
      <c r="E11" s="53"/>
      <c r="F11" s="53"/>
      <c r="G11" s="8"/>
    </row>
    <row r="12" spans="1:11" ht="21" customHeight="1" x14ac:dyDescent="0.35">
      <c r="A12" s="57"/>
      <c r="B12" s="58"/>
      <c r="C12" s="57" t="s">
        <v>40</v>
      </c>
      <c r="D12" s="59">
        <f>SUM(D3:D11)</f>
        <v>0</v>
      </c>
      <c r="E12" s="59">
        <f>SUM(E3:E11)</f>
        <v>0</v>
      </c>
      <c r="F12" s="59"/>
      <c r="G12" s="57"/>
    </row>
  </sheetData>
  <mergeCells count="1">
    <mergeCell ref="A1:G1"/>
  </mergeCells>
  <phoneticPr fontId="15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39A04-7E76-48EB-BA5C-40C343ADE7A5}">
  <dimension ref="A1:L153"/>
  <sheetViews>
    <sheetView workbookViewId="0">
      <selection activeCell="E16" sqref="E16"/>
    </sheetView>
  </sheetViews>
  <sheetFormatPr defaultRowHeight="21" customHeight="1" x14ac:dyDescent="0.35"/>
  <cols>
    <col min="1" max="1" width="10.5" style="50" customWidth="1"/>
    <col min="2" max="2" width="9.625" style="55" customWidth="1"/>
    <col min="3" max="3" width="40.75" style="50" customWidth="1"/>
    <col min="4" max="6" width="14.25" style="54" customWidth="1"/>
    <col min="7" max="7" width="14.25" style="50" customWidth="1"/>
    <col min="8" max="8" width="9" style="50"/>
    <col min="9" max="9" width="10.875" style="50" bestFit="1" customWidth="1"/>
    <col min="10" max="10" width="9" style="50"/>
    <col min="11" max="11" width="9.875" style="50" bestFit="1" customWidth="1"/>
    <col min="12" max="12" width="10.875" style="50" bestFit="1" customWidth="1"/>
    <col min="13" max="16384" width="9" style="50"/>
  </cols>
  <sheetData>
    <row r="1" spans="1:7" ht="21" customHeight="1" x14ac:dyDescent="0.35">
      <c r="A1" s="184" t="s">
        <v>38</v>
      </c>
      <c r="B1" s="184"/>
      <c r="C1" s="184"/>
      <c r="D1" s="184"/>
      <c r="E1" s="184"/>
      <c r="F1" s="184"/>
      <c r="G1" s="184"/>
    </row>
    <row r="2" spans="1:7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7" ht="24.75" customHeight="1" x14ac:dyDescent="0.35">
      <c r="A3" s="49"/>
      <c r="B3" s="9"/>
      <c r="C3" s="9" t="s">
        <v>136</v>
      </c>
      <c r="D3" s="53">
        <v>70000</v>
      </c>
      <c r="E3" s="53"/>
      <c r="F3" s="53">
        <f>D3</f>
        <v>70000</v>
      </c>
      <c r="G3" s="8"/>
    </row>
    <row r="4" spans="1:7" ht="24.75" customHeight="1" x14ac:dyDescent="0.35">
      <c r="A4" s="49"/>
      <c r="B4" s="9"/>
      <c r="C4" s="8"/>
      <c r="D4" s="53"/>
      <c r="E4" s="53">
        <v>720</v>
      </c>
      <c r="F4" s="53">
        <f>F3-E4</f>
        <v>69280</v>
      </c>
      <c r="G4" s="8"/>
    </row>
    <row r="5" spans="1:7" ht="24.75" customHeight="1" x14ac:dyDescent="0.35">
      <c r="A5" s="48"/>
      <c r="B5" s="9"/>
      <c r="C5" s="8"/>
      <c r="D5" s="53"/>
      <c r="E5" s="53">
        <v>13300</v>
      </c>
      <c r="F5" s="53">
        <f t="shared" ref="F5:F27" si="0">F4-E5</f>
        <v>55980</v>
      </c>
      <c r="G5" s="8"/>
    </row>
    <row r="6" spans="1:7" ht="24.75" customHeight="1" x14ac:dyDescent="0.35">
      <c r="A6" s="48"/>
      <c r="B6" s="9"/>
      <c r="C6" s="8"/>
      <c r="D6" s="53"/>
      <c r="E6" s="53">
        <v>2120</v>
      </c>
      <c r="F6" s="53">
        <f t="shared" si="0"/>
        <v>53860</v>
      </c>
      <c r="G6" s="8"/>
    </row>
    <row r="7" spans="1:7" ht="24.75" customHeight="1" x14ac:dyDescent="0.35">
      <c r="A7" s="48"/>
      <c r="B7" s="9"/>
      <c r="C7" s="8"/>
      <c r="D7" s="53"/>
      <c r="E7" s="53">
        <v>10200</v>
      </c>
      <c r="F7" s="53">
        <f t="shared" si="0"/>
        <v>43660</v>
      </c>
      <c r="G7" s="8"/>
    </row>
    <row r="8" spans="1:7" ht="24.75" customHeight="1" x14ac:dyDescent="0.35">
      <c r="A8" s="48"/>
      <c r="B8" s="9"/>
      <c r="C8" s="8"/>
      <c r="D8" s="53"/>
      <c r="E8" s="53">
        <v>2520</v>
      </c>
      <c r="F8" s="53">
        <f t="shared" si="0"/>
        <v>41140</v>
      </c>
      <c r="G8" s="8"/>
    </row>
    <row r="9" spans="1:7" ht="24.75" customHeight="1" x14ac:dyDescent="0.35">
      <c r="A9" s="48"/>
      <c r="B9" s="9"/>
      <c r="C9" s="8"/>
      <c r="D9" s="53"/>
      <c r="E9" s="53">
        <v>240</v>
      </c>
      <c r="F9" s="53">
        <f t="shared" si="0"/>
        <v>40900</v>
      </c>
      <c r="G9" s="8"/>
    </row>
    <row r="10" spans="1:7" ht="24.75" customHeight="1" x14ac:dyDescent="0.35">
      <c r="A10" s="48"/>
      <c r="B10" s="9"/>
      <c r="C10" s="8"/>
      <c r="D10" s="53"/>
      <c r="E10" s="53">
        <v>6920</v>
      </c>
      <c r="F10" s="53">
        <f t="shared" si="0"/>
        <v>33980</v>
      </c>
      <c r="G10" s="8"/>
    </row>
    <row r="11" spans="1:7" ht="24.75" customHeight="1" x14ac:dyDescent="0.35">
      <c r="A11" s="48"/>
      <c r="B11" s="9"/>
      <c r="C11" s="8"/>
      <c r="D11" s="53"/>
      <c r="E11" s="53">
        <v>6240</v>
      </c>
      <c r="F11" s="53">
        <f t="shared" si="0"/>
        <v>27740</v>
      </c>
      <c r="G11" s="8"/>
    </row>
    <row r="12" spans="1:7" ht="24.75" customHeight="1" x14ac:dyDescent="0.35">
      <c r="A12" s="48"/>
      <c r="B12" s="9"/>
      <c r="C12" s="8"/>
      <c r="D12" s="53"/>
      <c r="E12" s="53">
        <v>1888</v>
      </c>
      <c r="F12" s="53">
        <f t="shared" si="0"/>
        <v>25852</v>
      </c>
      <c r="G12" s="8"/>
    </row>
    <row r="13" spans="1:7" ht="24.75" customHeight="1" x14ac:dyDescent="0.35">
      <c r="A13" s="48"/>
      <c r="B13" s="9"/>
      <c r="C13" s="8"/>
      <c r="D13" s="53"/>
      <c r="E13" s="82">
        <v>2904</v>
      </c>
      <c r="F13" s="53">
        <f t="shared" si="0"/>
        <v>22948</v>
      </c>
      <c r="G13" s="8"/>
    </row>
    <row r="14" spans="1:7" ht="24.75" customHeight="1" x14ac:dyDescent="0.35">
      <c r="A14" s="48"/>
      <c r="B14" s="9"/>
      <c r="C14" s="8"/>
      <c r="D14" s="53"/>
      <c r="E14" s="53">
        <v>1040</v>
      </c>
      <c r="F14" s="53">
        <f t="shared" si="0"/>
        <v>21908</v>
      </c>
      <c r="G14" s="8"/>
    </row>
    <row r="15" spans="1:7" ht="24.75" customHeight="1" x14ac:dyDescent="0.35">
      <c r="A15" s="48"/>
      <c r="B15" s="9"/>
      <c r="C15" s="8"/>
      <c r="D15" s="53"/>
      <c r="E15" s="53">
        <v>5500</v>
      </c>
      <c r="F15" s="53">
        <f t="shared" si="0"/>
        <v>16408</v>
      </c>
      <c r="G15" s="8"/>
    </row>
    <row r="16" spans="1:7" ht="24.75" customHeight="1" x14ac:dyDescent="0.35">
      <c r="A16" s="48"/>
      <c r="B16" s="9"/>
      <c r="C16" s="8"/>
      <c r="D16" s="53"/>
      <c r="E16" s="53"/>
      <c r="F16" s="53">
        <f t="shared" si="0"/>
        <v>16408</v>
      </c>
      <c r="G16" s="8"/>
    </row>
    <row r="17" spans="1:11" ht="24.75" customHeight="1" x14ac:dyDescent="0.35">
      <c r="A17" s="48"/>
      <c r="B17" s="9"/>
      <c r="C17" s="8"/>
      <c r="D17" s="53"/>
      <c r="E17" s="53"/>
      <c r="F17" s="53">
        <f t="shared" si="0"/>
        <v>16408</v>
      </c>
      <c r="G17" s="8"/>
    </row>
    <row r="18" spans="1:11" ht="24.75" customHeight="1" x14ac:dyDescent="0.35">
      <c r="A18" s="48"/>
      <c r="B18" s="9"/>
      <c r="C18" s="8"/>
      <c r="D18" s="53"/>
      <c r="E18" s="53"/>
      <c r="F18" s="53">
        <f t="shared" si="0"/>
        <v>16408</v>
      </c>
      <c r="G18" s="8"/>
    </row>
    <row r="19" spans="1:11" ht="24.75" customHeight="1" x14ac:dyDescent="0.35">
      <c r="A19" s="48"/>
      <c r="B19" s="9"/>
      <c r="C19" s="9"/>
      <c r="D19" s="53"/>
      <c r="E19" s="53"/>
      <c r="F19" s="53">
        <f t="shared" si="0"/>
        <v>16408</v>
      </c>
      <c r="G19" s="8"/>
    </row>
    <row r="20" spans="1:11" ht="24.75" customHeight="1" x14ac:dyDescent="0.35">
      <c r="A20" s="48"/>
      <c r="B20" s="9"/>
      <c r="C20" s="8"/>
      <c r="D20" s="53"/>
      <c r="E20" s="53"/>
      <c r="F20" s="53">
        <f t="shared" si="0"/>
        <v>16408</v>
      </c>
      <c r="G20" s="8"/>
    </row>
    <row r="21" spans="1:11" ht="24.75" customHeight="1" x14ac:dyDescent="0.35">
      <c r="A21" s="48"/>
      <c r="B21" s="9"/>
      <c r="C21" s="42"/>
      <c r="D21" s="53"/>
      <c r="E21" s="53"/>
      <c r="F21" s="53">
        <f t="shared" si="0"/>
        <v>16408</v>
      </c>
      <c r="G21" s="8"/>
    </row>
    <row r="22" spans="1:11" ht="24.75" customHeight="1" x14ac:dyDescent="0.35">
      <c r="A22" s="48"/>
      <c r="B22" s="9"/>
      <c r="C22" s="8"/>
      <c r="D22" s="53"/>
      <c r="E22" s="53"/>
      <c r="F22" s="53">
        <f t="shared" si="0"/>
        <v>16408</v>
      </c>
      <c r="G22" s="8"/>
    </row>
    <row r="23" spans="1:11" ht="24.75" customHeight="1" x14ac:dyDescent="0.35">
      <c r="A23" s="48"/>
      <c r="B23" s="9"/>
      <c r="C23" s="8"/>
      <c r="D23" s="53"/>
      <c r="E23" s="53"/>
      <c r="F23" s="53">
        <f t="shared" si="0"/>
        <v>16408</v>
      </c>
      <c r="G23" s="8"/>
    </row>
    <row r="24" spans="1:11" ht="24.75" customHeight="1" x14ac:dyDescent="0.35">
      <c r="A24" s="48"/>
      <c r="B24" s="9"/>
      <c r="C24" s="8"/>
      <c r="D24" s="53"/>
      <c r="E24" s="53"/>
      <c r="F24" s="53">
        <f t="shared" si="0"/>
        <v>16408</v>
      </c>
      <c r="G24" s="68"/>
    </row>
    <row r="25" spans="1:11" ht="24.75" customHeight="1" x14ac:dyDescent="0.35">
      <c r="A25" s="48"/>
      <c r="B25" s="9"/>
      <c r="C25" s="8"/>
      <c r="D25" s="53"/>
      <c r="E25" s="53"/>
      <c r="F25" s="53">
        <f t="shared" si="0"/>
        <v>16408</v>
      </c>
      <c r="G25" s="8"/>
      <c r="K25" s="75"/>
    </row>
    <row r="26" spans="1:11" ht="24.75" customHeight="1" x14ac:dyDescent="0.35">
      <c r="A26" s="48"/>
      <c r="B26" s="9"/>
      <c r="C26" s="8"/>
      <c r="D26" s="53"/>
      <c r="E26" s="53"/>
      <c r="F26" s="53">
        <f t="shared" si="0"/>
        <v>16408</v>
      </c>
      <c r="G26" s="8"/>
    </row>
    <row r="27" spans="1:11" ht="24.75" customHeight="1" x14ac:dyDescent="0.35">
      <c r="A27" s="48"/>
      <c r="B27" s="9"/>
      <c r="C27" s="8"/>
      <c r="D27" s="53"/>
      <c r="E27" s="53"/>
      <c r="F27" s="53">
        <f t="shared" si="0"/>
        <v>16408</v>
      </c>
      <c r="G27" s="8"/>
    </row>
    <row r="28" spans="1:11" ht="24.75" customHeight="1" x14ac:dyDescent="0.35">
      <c r="A28" s="48"/>
      <c r="B28" s="9"/>
      <c r="C28" s="8"/>
      <c r="D28" s="53"/>
      <c r="E28" s="53"/>
      <c r="F28" s="53">
        <f>F27+D28</f>
        <v>16408</v>
      </c>
      <c r="G28" s="8"/>
    </row>
    <row r="29" spans="1:11" ht="24.75" customHeight="1" x14ac:dyDescent="0.35">
      <c r="A29" s="48"/>
      <c r="B29" s="9"/>
      <c r="C29" s="8"/>
      <c r="D29" s="53"/>
      <c r="E29" s="53"/>
      <c r="F29" s="53">
        <f>F28-E29</f>
        <v>16408</v>
      </c>
      <c r="G29" s="8"/>
    </row>
    <row r="30" spans="1:11" ht="24.75" customHeight="1" x14ac:dyDescent="0.35">
      <c r="A30" s="48"/>
      <c r="B30" s="9"/>
      <c r="C30" s="8"/>
      <c r="D30" s="53"/>
      <c r="E30" s="53"/>
      <c r="F30" s="53">
        <f t="shared" ref="F30:F35" si="1">F29-E30</f>
        <v>16408</v>
      </c>
      <c r="G30" s="8"/>
    </row>
    <row r="31" spans="1:11" ht="24.75" customHeight="1" x14ac:dyDescent="0.35">
      <c r="A31" s="48"/>
      <c r="B31" s="9"/>
      <c r="C31" s="8"/>
      <c r="D31" s="53"/>
      <c r="E31" s="53"/>
      <c r="F31" s="53">
        <f t="shared" si="1"/>
        <v>16408</v>
      </c>
      <c r="G31" s="8"/>
    </row>
    <row r="32" spans="1:11" ht="24.75" customHeight="1" x14ac:dyDescent="0.35">
      <c r="A32" s="48"/>
      <c r="B32" s="9"/>
      <c r="C32" s="8"/>
      <c r="D32" s="53"/>
      <c r="E32" s="53"/>
      <c r="F32" s="53">
        <f t="shared" si="1"/>
        <v>16408</v>
      </c>
      <c r="G32" s="8"/>
    </row>
    <row r="33" spans="1:12" ht="24.75" customHeight="1" x14ac:dyDescent="0.35">
      <c r="A33" s="48"/>
      <c r="B33" s="9"/>
      <c r="C33" s="8"/>
      <c r="D33" s="53"/>
      <c r="E33" s="53"/>
      <c r="F33" s="53">
        <f t="shared" si="1"/>
        <v>16408</v>
      </c>
      <c r="G33" s="8"/>
    </row>
    <row r="34" spans="1:12" ht="24.75" customHeight="1" x14ac:dyDescent="0.35">
      <c r="A34" s="48"/>
      <c r="B34" s="9"/>
      <c r="C34" s="9"/>
      <c r="D34" s="53"/>
      <c r="E34" s="53"/>
      <c r="F34" s="53">
        <f t="shared" si="1"/>
        <v>16408</v>
      </c>
      <c r="G34" s="8"/>
    </row>
    <row r="35" spans="1:12" ht="24.75" customHeight="1" x14ac:dyDescent="0.35">
      <c r="A35" s="88"/>
      <c r="B35" s="7"/>
      <c r="C35" s="56"/>
      <c r="D35" s="53"/>
      <c r="E35" s="53"/>
      <c r="F35" s="53">
        <f t="shared" si="1"/>
        <v>16408</v>
      </c>
      <c r="G35" s="10"/>
      <c r="I35" s="75"/>
      <c r="L35" s="75"/>
    </row>
    <row r="36" spans="1:12" ht="24.75" customHeight="1" x14ac:dyDescent="0.35">
      <c r="A36" s="48"/>
      <c r="B36" s="9"/>
      <c r="C36" s="8"/>
      <c r="D36" s="53"/>
      <c r="E36" s="66"/>
      <c r="F36" s="53">
        <f>F35+D36</f>
        <v>16408</v>
      </c>
      <c r="G36" s="8"/>
    </row>
    <row r="37" spans="1:12" ht="24.75" customHeight="1" x14ac:dyDescent="0.35">
      <c r="A37" s="8"/>
      <c r="B37" s="9"/>
      <c r="C37" s="8"/>
      <c r="D37" s="53"/>
      <c r="E37" s="66"/>
      <c r="F37" s="53">
        <f>F36-E37</f>
        <v>16408</v>
      </c>
      <c r="G37" s="8"/>
    </row>
    <row r="38" spans="1:12" ht="24.75" customHeight="1" x14ac:dyDescent="0.35">
      <c r="A38" s="48"/>
      <c r="B38" s="9"/>
      <c r="C38" s="8"/>
      <c r="D38" s="53"/>
      <c r="E38" s="53"/>
      <c r="F38" s="53">
        <f t="shared" ref="F38:F40" si="2">F37-E38</f>
        <v>16408</v>
      </c>
      <c r="G38" s="8"/>
      <c r="L38" s="89"/>
    </row>
    <row r="39" spans="1:12" ht="24.75" customHeight="1" x14ac:dyDescent="0.35">
      <c r="A39" s="48"/>
      <c r="B39" s="9"/>
      <c r="C39" s="8"/>
      <c r="D39" s="53"/>
      <c r="E39" s="53"/>
      <c r="F39" s="53">
        <f t="shared" si="2"/>
        <v>16408</v>
      </c>
      <c r="G39" s="8"/>
    </row>
    <row r="40" spans="1:12" ht="24.75" customHeight="1" x14ac:dyDescent="0.35">
      <c r="A40" s="48"/>
      <c r="B40" s="9"/>
      <c r="C40" s="8"/>
      <c r="D40" s="53"/>
      <c r="E40" s="66"/>
      <c r="F40" s="53">
        <f t="shared" si="2"/>
        <v>16408</v>
      </c>
      <c r="G40" s="8"/>
      <c r="L40" s="75"/>
    </row>
    <row r="41" spans="1:12" ht="24.75" customHeight="1" x14ac:dyDescent="0.35">
      <c r="A41" s="8"/>
      <c r="B41" s="9"/>
      <c r="C41" s="8"/>
      <c r="D41" s="53"/>
      <c r="E41" s="53"/>
      <c r="F41" s="53">
        <f>F40+D41</f>
        <v>16408</v>
      </c>
      <c r="G41" s="8"/>
    </row>
    <row r="42" spans="1:12" ht="24.75" customHeight="1" x14ac:dyDescent="0.35">
      <c r="A42" s="8"/>
      <c r="B42" s="9"/>
      <c r="C42" s="56"/>
      <c r="D42" s="53"/>
      <c r="E42" s="53"/>
      <c r="F42" s="53">
        <f>F41-E42</f>
        <v>16408</v>
      </c>
      <c r="G42" s="8"/>
    </row>
    <row r="43" spans="1:12" ht="24.75" customHeight="1" x14ac:dyDescent="0.35">
      <c r="A43" s="8"/>
      <c r="B43" s="9"/>
      <c r="C43" s="8"/>
      <c r="D43" s="53"/>
      <c r="E43" s="66"/>
      <c r="F43" s="53">
        <f t="shared" ref="F43:F49" si="3">F42-E43</f>
        <v>16408</v>
      </c>
      <c r="G43" s="8"/>
    </row>
    <row r="44" spans="1:12" ht="24.75" customHeight="1" x14ac:dyDescent="0.35">
      <c r="A44" s="8"/>
      <c r="B44" s="9"/>
      <c r="C44" s="8"/>
      <c r="D44" s="53"/>
      <c r="E44" s="66"/>
      <c r="F44" s="53">
        <f t="shared" si="3"/>
        <v>16408</v>
      </c>
      <c r="G44" s="8"/>
    </row>
    <row r="45" spans="1:12" ht="24.75" customHeight="1" x14ac:dyDescent="0.35">
      <c r="A45" s="8"/>
      <c r="B45" s="9"/>
      <c r="C45" s="8"/>
      <c r="D45" s="53"/>
      <c r="E45" s="53"/>
      <c r="F45" s="53">
        <f t="shared" si="3"/>
        <v>16408</v>
      </c>
      <c r="G45" s="8"/>
    </row>
    <row r="46" spans="1:12" ht="24.75" customHeight="1" x14ac:dyDescent="0.35">
      <c r="A46" s="48"/>
      <c r="B46" s="9"/>
      <c r="C46" s="8"/>
      <c r="D46" s="53"/>
      <c r="E46" s="53"/>
      <c r="F46" s="53">
        <f t="shared" si="3"/>
        <v>16408</v>
      </c>
      <c r="G46" s="8"/>
    </row>
    <row r="47" spans="1:12" ht="24.75" customHeight="1" x14ac:dyDescent="0.35">
      <c r="A47" s="48"/>
      <c r="B47" s="9"/>
      <c r="C47" s="56"/>
      <c r="D47" s="53"/>
      <c r="E47" s="53"/>
      <c r="F47" s="53">
        <f t="shared" si="3"/>
        <v>16408</v>
      </c>
      <c r="G47" s="8"/>
    </row>
    <row r="48" spans="1:12" ht="24.75" customHeight="1" x14ac:dyDescent="0.35">
      <c r="A48" s="48"/>
      <c r="B48" s="9"/>
      <c r="C48" s="8"/>
      <c r="D48" s="53"/>
      <c r="E48" s="53"/>
      <c r="F48" s="53">
        <f t="shared" si="3"/>
        <v>16408</v>
      </c>
      <c r="G48" s="8"/>
    </row>
    <row r="49" spans="1:7" ht="24.75" customHeight="1" x14ac:dyDescent="0.35">
      <c r="A49" s="48"/>
      <c r="B49" s="9"/>
      <c r="C49" s="8"/>
      <c r="D49" s="53"/>
      <c r="E49" s="53"/>
      <c r="F49" s="53">
        <f t="shared" si="3"/>
        <v>16408</v>
      </c>
      <c r="G49" s="8"/>
    </row>
    <row r="50" spans="1:7" ht="24.75" customHeight="1" x14ac:dyDescent="0.35">
      <c r="A50" s="48"/>
      <c r="B50" s="9"/>
      <c r="C50" s="8"/>
      <c r="D50" s="53"/>
      <c r="E50" s="53"/>
      <c r="F50" s="53">
        <f>F49+D50</f>
        <v>16408</v>
      </c>
      <c r="G50" s="8"/>
    </row>
    <row r="51" spans="1:7" ht="24.75" customHeight="1" x14ac:dyDescent="0.35">
      <c r="A51" s="48"/>
      <c r="B51" s="9"/>
      <c r="C51" s="8"/>
      <c r="D51" s="53"/>
      <c r="E51" s="53"/>
      <c r="F51" s="53">
        <f>F50-E51</f>
        <v>16408</v>
      </c>
      <c r="G51" s="8"/>
    </row>
    <row r="52" spans="1:7" ht="24.75" customHeight="1" x14ac:dyDescent="0.35">
      <c r="A52" s="48"/>
      <c r="B52" s="9"/>
      <c r="C52" s="8"/>
      <c r="D52" s="53"/>
      <c r="E52" s="53"/>
      <c r="F52" s="53">
        <f t="shared" ref="F52:F53" si="4">F51-E52</f>
        <v>16408</v>
      </c>
      <c r="G52" s="8"/>
    </row>
    <row r="53" spans="1:7" ht="24.75" customHeight="1" x14ac:dyDescent="0.35">
      <c r="A53" s="48"/>
      <c r="B53" s="9"/>
      <c r="C53" s="56"/>
      <c r="D53" s="53"/>
      <c r="E53" s="53"/>
      <c r="F53" s="53">
        <f t="shared" si="4"/>
        <v>16408</v>
      </c>
      <c r="G53" s="8"/>
    </row>
    <row r="54" spans="1:7" ht="24.75" customHeight="1" x14ac:dyDescent="0.35">
      <c r="A54" s="48"/>
      <c r="B54" s="9"/>
      <c r="C54" s="56"/>
      <c r="D54" s="53"/>
      <c r="E54" s="53"/>
      <c r="F54" s="53">
        <f>F53+D54</f>
        <v>16408</v>
      </c>
      <c r="G54" s="8"/>
    </row>
    <row r="55" spans="1:7" ht="24.75" customHeight="1" x14ac:dyDescent="0.35">
      <c r="A55" s="48"/>
      <c r="B55" s="9"/>
      <c r="C55" s="56"/>
      <c r="D55" s="53"/>
      <c r="E55" s="53"/>
      <c r="F55" s="53">
        <f>F54-E55</f>
        <v>16408</v>
      </c>
      <c r="G55" s="8"/>
    </row>
    <row r="56" spans="1:7" ht="24.75" customHeight="1" x14ac:dyDescent="0.35">
      <c r="A56" s="48"/>
      <c r="B56" s="9"/>
      <c r="C56" s="56"/>
      <c r="D56" s="53"/>
      <c r="E56" s="53"/>
      <c r="F56" s="53">
        <f>F55-E56</f>
        <v>16408</v>
      </c>
      <c r="G56" s="8"/>
    </row>
    <row r="57" spans="1:7" ht="24.75" customHeight="1" x14ac:dyDescent="0.35">
      <c r="A57" s="48"/>
      <c r="B57" s="9"/>
      <c r="C57" s="56"/>
      <c r="D57" s="53"/>
      <c r="E57" s="53"/>
      <c r="F57" s="53">
        <f>F56+D57</f>
        <v>16408</v>
      </c>
      <c r="G57" s="8"/>
    </row>
    <row r="58" spans="1:7" ht="24.75" customHeight="1" x14ac:dyDescent="0.35">
      <c r="A58" s="48"/>
      <c r="B58" s="9"/>
      <c r="C58" s="56"/>
      <c r="D58" s="53"/>
      <c r="E58" s="53"/>
      <c r="F58" s="53">
        <f>F57-E58</f>
        <v>16408</v>
      </c>
      <c r="G58" s="8"/>
    </row>
    <row r="59" spans="1:7" ht="24.75" customHeight="1" x14ac:dyDescent="0.35">
      <c r="A59" s="48"/>
      <c r="B59" s="9"/>
      <c r="C59" s="56"/>
      <c r="D59" s="53"/>
      <c r="E59" s="53"/>
      <c r="F59" s="53">
        <f t="shared" ref="F59:F60" si="5">F58-E59</f>
        <v>16408</v>
      </c>
      <c r="G59" s="8"/>
    </row>
    <row r="60" spans="1:7" ht="24.75" customHeight="1" x14ac:dyDescent="0.35">
      <c r="A60" s="48"/>
      <c r="B60" s="9"/>
      <c r="C60" s="56"/>
      <c r="D60" s="53"/>
      <c r="E60" s="53"/>
      <c r="F60" s="53">
        <f t="shared" si="5"/>
        <v>16408</v>
      </c>
      <c r="G60" s="8"/>
    </row>
    <row r="61" spans="1:7" ht="24.75" customHeight="1" x14ac:dyDescent="0.35">
      <c r="A61" s="48"/>
      <c r="B61" s="9"/>
      <c r="C61" s="56"/>
      <c r="D61" s="53"/>
      <c r="E61" s="53"/>
      <c r="F61" s="53">
        <f>F60+D61</f>
        <v>16408</v>
      </c>
      <c r="G61" s="8"/>
    </row>
    <row r="62" spans="1:7" ht="24.75" customHeight="1" x14ac:dyDescent="0.35">
      <c r="A62" s="48"/>
      <c r="B62" s="9"/>
      <c r="C62" s="56"/>
      <c r="D62" s="53"/>
      <c r="E62" s="53"/>
      <c r="F62" s="53">
        <f>F61-E62</f>
        <v>16408</v>
      </c>
      <c r="G62" s="8"/>
    </row>
    <row r="63" spans="1:7" ht="24.75" customHeight="1" x14ac:dyDescent="0.35">
      <c r="A63" s="48"/>
      <c r="B63" s="9"/>
      <c r="C63" s="56"/>
      <c r="D63" s="53"/>
      <c r="E63" s="53"/>
      <c r="F63" s="53">
        <f t="shared" ref="F63:F65" si="6">F62-E63</f>
        <v>16408</v>
      </c>
      <c r="G63" s="8"/>
    </row>
    <row r="64" spans="1:7" ht="24.75" customHeight="1" x14ac:dyDescent="0.35">
      <c r="A64" s="48"/>
      <c r="B64" s="9"/>
      <c r="C64" s="56"/>
      <c r="D64" s="53"/>
      <c r="E64" s="53"/>
      <c r="F64" s="53">
        <f t="shared" si="6"/>
        <v>16408</v>
      </c>
      <c r="G64" s="8"/>
    </row>
    <row r="65" spans="1:7" ht="24.75" customHeight="1" x14ac:dyDescent="0.35">
      <c r="A65" s="48"/>
      <c r="B65" s="9"/>
      <c r="C65" s="56"/>
      <c r="D65" s="53"/>
      <c r="E65" s="53"/>
      <c r="F65" s="53">
        <f t="shared" si="6"/>
        <v>16408</v>
      </c>
      <c r="G65" s="8"/>
    </row>
    <row r="66" spans="1:7" ht="24.75" customHeight="1" x14ac:dyDescent="0.35">
      <c r="A66" s="48"/>
      <c r="B66" s="9"/>
      <c r="C66" s="8"/>
      <c r="D66" s="53"/>
      <c r="E66" s="53"/>
      <c r="F66" s="53">
        <f>F65+D66</f>
        <v>16408</v>
      </c>
      <c r="G66" s="8"/>
    </row>
    <row r="67" spans="1:7" ht="24.75" customHeight="1" x14ac:dyDescent="0.35">
      <c r="A67" s="48"/>
      <c r="B67" s="9"/>
      <c r="C67" s="8"/>
      <c r="D67" s="53"/>
      <c r="E67" s="53"/>
      <c r="F67" s="53">
        <f>F66-E67</f>
        <v>16408</v>
      </c>
      <c r="G67" s="8"/>
    </row>
    <row r="68" spans="1:7" ht="24.75" customHeight="1" x14ac:dyDescent="0.35">
      <c r="A68" s="48"/>
      <c r="B68" s="9"/>
      <c r="C68" s="8"/>
      <c r="D68" s="53"/>
      <c r="E68" s="53"/>
      <c r="F68" s="53">
        <f t="shared" ref="F68:F69" si="7">F67-E68</f>
        <v>16408</v>
      </c>
      <c r="G68" s="8"/>
    </row>
    <row r="69" spans="1:7" ht="24.75" customHeight="1" x14ac:dyDescent="0.35">
      <c r="A69" s="48"/>
      <c r="B69" s="9"/>
      <c r="C69" s="8"/>
      <c r="D69" s="53"/>
      <c r="E69" s="53"/>
      <c r="F69" s="53">
        <f t="shared" si="7"/>
        <v>16408</v>
      </c>
      <c r="G69" s="8"/>
    </row>
    <row r="70" spans="1:7" ht="24.75" customHeight="1" x14ac:dyDescent="0.35">
      <c r="A70" s="48"/>
      <c r="B70" s="9"/>
      <c r="C70" s="8"/>
      <c r="D70" s="53"/>
      <c r="E70" s="53"/>
      <c r="F70" s="53">
        <f>F69+D70</f>
        <v>16408</v>
      </c>
      <c r="G70" s="8"/>
    </row>
    <row r="71" spans="1:7" ht="24.75" customHeight="1" x14ac:dyDescent="0.35">
      <c r="A71" s="48"/>
      <c r="B71" s="9"/>
      <c r="C71" s="8"/>
      <c r="D71" s="53"/>
      <c r="E71" s="53"/>
      <c r="F71" s="53">
        <f t="shared" ref="F71:F72" si="8">F70+D71</f>
        <v>16408</v>
      </c>
      <c r="G71" s="8"/>
    </row>
    <row r="72" spans="1:7" ht="24.75" customHeight="1" x14ac:dyDescent="0.35">
      <c r="A72" s="48"/>
      <c r="B72" s="9"/>
      <c r="C72" s="9"/>
      <c r="D72" s="53"/>
      <c r="E72" s="53"/>
      <c r="F72" s="53">
        <f t="shared" si="8"/>
        <v>16408</v>
      </c>
      <c r="G72" s="8"/>
    </row>
    <row r="73" spans="1:7" ht="24.75" customHeight="1" x14ac:dyDescent="0.35">
      <c r="A73" s="48"/>
      <c r="B73" s="9"/>
      <c r="C73" s="8"/>
      <c r="D73" s="53"/>
      <c r="E73" s="53"/>
      <c r="F73" s="53">
        <f>F72-E73</f>
        <v>16408</v>
      </c>
      <c r="G73" s="8"/>
    </row>
    <row r="74" spans="1:7" ht="24.75" customHeight="1" x14ac:dyDescent="0.35">
      <c r="A74" s="48"/>
      <c r="B74" s="9"/>
      <c r="C74" s="8"/>
      <c r="D74" s="53"/>
      <c r="E74" s="53"/>
      <c r="F74" s="53">
        <f>F73-E74</f>
        <v>16408</v>
      </c>
      <c r="G74" s="8"/>
    </row>
    <row r="75" spans="1:7" ht="24.75" customHeight="1" x14ac:dyDescent="0.35">
      <c r="A75" s="48"/>
      <c r="B75" s="9"/>
      <c r="C75" s="8"/>
      <c r="D75" s="53"/>
      <c r="E75" s="53"/>
      <c r="F75" s="53">
        <f>F74+D75</f>
        <v>16408</v>
      </c>
      <c r="G75" s="8"/>
    </row>
    <row r="76" spans="1:7" ht="24.75" customHeight="1" x14ac:dyDescent="0.35">
      <c r="A76" s="48"/>
      <c r="B76" s="9"/>
      <c r="C76" s="8"/>
      <c r="D76" s="53"/>
      <c r="E76" s="53"/>
      <c r="F76" s="53">
        <f>F75-E76</f>
        <v>16408</v>
      </c>
      <c r="G76" s="8"/>
    </row>
    <row r="77" spans="1:7" ht="24.75" customHeight="1" x14ac:dyDescent="0.35">
      <c r="A77" s="48"/>
      <c r="B77" s="9"/>
      <c r="C77" s="8"/>
      <c r="D77" s="53"/>
      <c r="E77" s="53"/>
      <c r="F77" s="53">
        <f>F76-E77</f>
        <v>16408</v>
      </c>
      <c r="G77" s="8"/>
    </row>
    <row r="78" spans="1:7" ht="24.75" customHeight="1" x14ac:dyDescent="0.35">
      <c r="A78" s="48"/>
      <c r="B78" s="9"/>
      <c r="C78" s="56"/>
      <c r="D78" s="53"/>
      <c r="E78" s="53"/>
      <c r="F78" s="53">
        <f>F77+D78</f>
        <v>16408</v>
      </c>
      <c r="G78" s="8"/>
    </row>
    <row r="79" spans="1:7" ht="24.75" customHeight="1" x14ac:dyDescent="0.35">
      <c r="A79" s="48"/>
      <c r="B79" s="9"/>
      <c r="C79" s="8"/>
      <c r="D79" s="53"/>
      <c r="E79" s="53"/>
      <c r="F79" s="53">
        <f>F78-E79</f>
        <v>16408</v>
      </c>
      <c r="G79" s="8"/>
    </row>
    <row r="80" spans="1:7" ht="24.75" customHeight="1" x14ac:dyDescent="0.35">
      <c r="A80" s="48"/>
      <c r="B80" s="9"/>
      <c r="C80" s="8"/>
      <c r="D80" s="53"/>
      <c r="E80" s="53"/>
      <c r="F80" s="53">
        <f t="shared" ref="F80:F83" si="9">F79-E80</f>
        <v>16408</v>
      </c>
      <c r="G80" s="8"/>
    </row>
    <row r="81" spans="1:7" ht="24.75" customHeight="1" x14ac:dyDescent="0.35">
      <c r="A81" s="48"/>
      <c r="B81" s="9"/>
      <c r="C81" s="8"/>
      <c r="D81" s="53"/>
      <c r="E81" s="53"/>
      <c r="F81" s="53">
        <f t="shared" si="9"/>
        <v>16408</v>
      </c>
      <c r="G81" s="8"/>
    </row>
    <row r="82" spans="1:7" ht="24.75" customHeight="1" x14ac:dyDescent="0.35">
      <c r="A82" s="48"/>
      <c r="B82" s="9"/>
      <c r="C82" s="8"/>
      <c r="D82" s="53"/>
      <c r="E82" s="53"/>
      <c r="F82" s="53">
        <f t="shared" si="9"/>
        <v>16408</v>
      </c>
      <c r="G82" s="8"/>
    </row>
    <row r="83" spans="1:7" ht="24.75" customHeight="1" x14ac:dyDescent="0.35">
      <c r="A83" s="48"/>
      <c r="B83" s="9"/>
      <c r="C83" s="8"/>
      <c r="D83" s="53"/>
      <c r="E83" s="53"/>
      <c r="F83" s="53">
        <f t="shared" si="9"/>
        <v>16408</v>
      </c>
      <c r="G83" s="8"/>
    </row>
    <row r="84" spans="1:7" ht="24.75" customHeight="1" x14ac:dyDescent="0.35">
      <c r="A84" s="48"/>
      <c r="B84" s="9"/>
      <c r="C84" s="8"/>
      <c r="D84" s="53"/>
      <c r="E84" s="53"/>
      <c r="F84" s="53">
        <f>F83+D84</f>
        <v>16408</v>
      </c>
      <c r="G84" s="8"/>
    </row>
    <row r="85" spans="1:7" ht="24.75" customHeight="1" x14ac:dyDescent="0.35">
      <c r="A85" s="48"/>
      <c r="B85" s="9"/>
      <c r="C85" s="8"/>
      <c r="D85" s="53"/>
      <c r="E85" s="53"/>
      <c r="F85" s="53">
        <f>F84-E85</f>
        <v>16408</v>
      </c>
      <c r="G85" s="8"/>
    </row>
    <row r="86" spans="1:7" ht="24.75" customHeight="1" x14ac:dyDescent="0.35">
      <c r="A86" s="48"/>
      <c r="B86" s="9"/>
      <c r="C86" s="8"/>
      <c r="D86" s="53"/>
      <c r="E86" s="53"/>
      <c r="F86" s="53">
        <f>F85-E86</f>
        <v>16408</v>
      </c>
      <c r="G86" s="8"/>
    </row>
    <row r="87" spans="1:7" ht="24.75" customHeight="1" x14ac:dyDescent="0.35">
      <c r="A87" s="48"/>
      <c r="B87" s="9"/>
      <c r="C87" s="8"/>
      <c r="D87" s="53"/>
      <c r="E87" s="53"/>
      <c r="F87" s="53">
        <f>F86+D87</f>
        <v>16408</v>
      </c>
      <c r="G87" s="8"/>
    </row>
    <row r="88" spans="1:7" ht="24.75" customHeight="1" x14ac:dyDescent="0.35">
      <c r="A88" s="48"/>
      <c r="B88" s="9"/>
      <c r="C88" s="8"/>
      <c r="D88" s="53"/>
      <c r="E88" s="53"/>
      <c r="F88" s="53">
        <f>F87+D88</f>
        <v>16408</v>
      </c>
      <c r="G88" s="8"/>
    </row>
    <row r="89" spans="1:7" ht="24.75" customHeight="1" x14ac:dyDescent="0.35">
      <c r="A89" s="48"/>
      <c r="B89" s="9"/>
      <c r="C89" s="8"/>
      <c r="D89" s="53"/>
      <c r="E89" s="53"/>
      <c r="F89" s="53">
        <f>F88-E89</f>
        <v>16408</v>
      </c>
      <c r="G89" s="8"/>
    </row>
    <row r="90" spans="1:7" ht="24.75" customHeight="1" x14ac:dyDescent="0.35">
      <c r="A90" s="48"/>
      <c r="B90" s="9"/>
      <c r="C90" s="8"/>
      <c r="D90" s="53"/>
      <c r="E90" s="53"/>
      <c r="F90" s="53">
        <f>F89-E90</f>
        <v>16408</v>
      </c>
      <c r="G90" s="8"/>
    </row>
    <row r="91" spans="1:7" ht="24.75" customHeight="1" x14ac:dyDescent="0.35">
      <c r="A91" s="48"/>
      <c r="B91" s="9"/>
      <c r="C91" s="8"/>
      <c r="D91" s="53"/>
      <c r="E91" s="53"/>
      <c r="F91" s="53">
        <f>F90+D91</f>
        <v>16408</v>
      </c>
      <c r="G91" s="8"/>
    </row>
    <row r="92" spans="1:7" ht="24.75" customHeight="1" x14ac:dyDescent="0.35">
      <c r="A92" s="48"/>
      <c r="B92" s="9"/>
      <c r="C92" s="8"/>
      <c r="D92" s="53"/>
      <c r="E92" s="53"/>
      <c r="F92" s="53">
        <f>F91-E92</f>
        <v>16408</v>
      </c>
      <c r="G92" s="8"/>
    </row>
    <row r="93" spans="1:7" ht="24.75" customHeight="1" x14ac:dyDescent="0.35">
      <c r="A93" s="48"/>
      <c r="B93" s="9"/>
      <c r="C93" s="8"/>
      <c r="D93" s="53"/>
      <c r="E93" s="53"/>
      <c r="F93" s="53">
        <f t="shared" ref="F93:F94" si="10">F92-E93</f>
        <v>16408</v>
      </c>
      <c r="G93" s="8"/>
    </row>
    <row r="94" spans="1:7" ht="24.75" customHeight="1" x14ac:dyDescent="0.35">
      <c r="A94" s="48"/>
      <c r="B94" s="9"/>
      <c r="C94" s="8"/>
      <c r="D94" s="53"/>
      <c r="E94" s="53"/>
      <c r="F94" s="53">
        <f t="shared" si="10"/>
        <v>16408</v>
      </c>
      <c r="G94" s="8"/>
    </row>
    <row r="95" spans="1:7" ht="24.75" customHeight="1" x14ac:dyDescent="0.35">
      <c r="A95" s="48"/>
      <c r="B95" s="9"/>
      <c r="C95" s="8"/>
      <c r="D95" s="53"/>
      <c r="E95" s="53"/>
      <c r="F95" s="53">
        <f>F94+D95</f>
        <v>16408</v>
      </c>
      <c r="G95" s="8"/>
    </row>
    <row r="96" spans="1:7" ht="24.75" customHeight="1" x14ac:dyDescent="0.35">
      <c r="A96" s="48"/>
      <c r="B96" s="9"/>
      <c r="C96" s="8"/>
      <c r="D96" s="53"/>
      <c r="E96" s="53"/>
      <c r="F96" s="53">
        <f>F95+D96</f>
        <v>16408</v>
      </c>
      <c r="G96" s="8"/>
    </row>
    <row r="97" spans="1:7" ht="24.75" customHeight="1" x14ac:dyDescent="0.35">
      <c r="A97" s="48"/>
      <c r="B97" s="9"/>
      <c r="C97" s="8"/>
      <c r="D97" s="53"/>
      <c r="E97" s="53"/>
      <c r="F97" s="53">
        <f>F96-E97</f>
        <v>16408</v>
      </c>
      <c r="G97" s="8"/>
    </row>
    <row r="98" spans="1:7" ht="24.75" customHeight="1" x14ac:dyDescent="0.35">
      <c r="A98" s="48"/>
      <c r="B98" s="9"/>
      <c r="C98" s="8"/>
      <c r="D98" s="53"/>
      <c r="E98" s="53"/>
      <c r="F98" s="53">
        <f>F97+D98</f>
        <v>16408</v>
      </c>
      <c r="G98" s="8"/>
    </row>
    <row r="99" spans="1:7" ht="24.75" customHeight="1" x14ac:dyDescent="0.35">
      <c r="A99" s="48"/>
      <c r="B99" s="9"/>
      <c r="C99" s="8"/>
      <c r="D99" s="53"/>
      <c r="E99" s="53"/>
      <c r="F99" s="53">
        <f>F98-E99</f>
        <v>16408</v>
      </c>
      <c r="G99" s="8"/>
    </row>
    <row r="100" spans="1:7" ht="24.75" customHeight="1" x14ac:dyDescent="0.35">
      <c r="A100" s="48"/>
      <c r="B100" s="9"/>
      <c r="C100" s="8"/>
      <c r="D100" s="53"/>
      <c r="E100" s="53"/>
      <c r="F100" s="53">
        <f>F99-E100</f>
        <v>16408</v>
      </c>
      <c r="G100" s="8"/>
    </row>
    <row r="101" spans="1:7" ht="24.75" customHeight="1" x14ac:dyDescent="0.35">
      <c r="A101" s="48"/>
      <c r="B101" s="9"/>
      <c r="C101" s="8"/>
      <c r="D101" s="53"/>
      <c r="E101" s="53"/>
      <c r="F101" s="53">
        <f>F100+D101</f>
        <v>16408</v>
      </c>
      <c r="G101" s="8"/>
    </row>
    <row r="102" spans="1:7" ht="24.75" customHeight="1" x14ac:dyDescent="0.35">
      <c r="A102" s="48"/>
      <c r="B102" s="9"/>
      <c r="C102" s="8"/>
      <c r="D102" s="53"/>
      <c r="E102" s="53"/>
      <c r="F102" s="53">
        <f>F101-E102</f>
        <v>16408</v>
      </c>
      <c r="G102" s="8"/>
    </row>
    <row r="103" spans="1:7" ht="24.75" customHeight="1" x14ac:dyDescent="0.35">
      <c r="A103" s="48"/>
      <c r="B103" s="9"/>
      <c r="C103" s="8"/>
      <c r="D103" s="53"/>
      <c r="E103" s="53"/>
      <c r="F103" s="53">
        <f t="shared" ref="F103:F113" si="11">F102-E103</f>
        <v>16408</v>
      </c>
      <c r="G103" s="8"/>
    </row>
    <row r="104" spans="1:7" ht="24.75" customHeight="1" x14ac:dyDescent="0.35">
      <c r="A104" s="48"/>
      <c r="B104" s="9"/>
      <c r="C104" s="8"/>
      <c r="D104" s="53"/>
      <c r="E104" s="53"/>
      <c r="F104" s="53">
        <f t="shared" si="11"/>
        <v>16408</v>
      </c>
      <c r="G104" s="8"/>
    </row>
    <row r="105" spans="1:7" ht="24.75" customHeight="1" x14ac:dyDescent="0.35">
      <c r="A105" s="48"/>
      <c r="B105" s="9"/>
      <c r="C105" s="8"/>
      <c r="D105" s="53"/>
      <c r="E105" s="53"/>
      <c r="F105" s="53">
        <f t="shared" si="11"/>
        <v>16408</v>
      </c>
      <c r="G105" s="8"/>
    </row>
    <row r="106" spans="1:7" ht="24.75" customHeight="1" x14ac:dyDescent="0.35">
      <c r="A106" s="48"/>
      <c r="B106" s="9"/>
      <c r="C106" s="8"/>
      <c r="D106" s="53"/>
      <c r="E106" s="53"/>
      <c r="F106" s="53">
        <f t="shared" si="11"/>
        <v>16408</v>
      </c>
      <c r="G106" s="8"/>
    </row>
    <row r="107" spans="1:7" ht="24.75" customHeight="1" x14ac:dyDescent="0.35">
      <c r="A107" s="48"/>
      <c r="B107" s="9"/>
      <c r="C107" s="8"/>
      <c r="D107" s="53"/>
      <c r="E107" s="53"/>
      <c r="F107" s="53">
        <f t="shared" si="11"/>
        <v>16408</v>
      </c>
      <c r="G107" s="8"/>
    </row>
    <row r="108" spans="1:7" ht="24.75" customHeight="1" x14ac:dyDescent="0.35">
      <c r="A108" s="48"/>
      <c r="B108" s="9"/>
      <c r="C108" s="8"/>
      <c r="D108" s="53"/>
      <c r="E108" s="53"/>
      <c r="F108" s="53">
        <f t="shared" si="11"/>
        <v>16408</v>
      </c>
      <c r="G108" s="8"/>
    </row>
    <row r="109" spans="1:7" ht="24.75" customHeight="1" x14ac:dyDescent="0.35">
      <c r="A109" s="48"/>
      <c r="B109" s="9"/>
      <c r="C109" s="8"/>
      <c r="D109" s="53"/>
      <c r="E109" s="53"/>
      <c r="F109" s="53">
        <f t="shared" si="11"/>
        <v>16408</v>
      </c>
      <c r="G109" s="8"/>
    </row>
    <row r="110" spans="1:7" ht="24.75" customHeight="1" x14ac:dyDescent="0.35">
      <c r="A110" s="48"/>
      <c r="B110" s="9"/>
      <c r="C110" s="8"/>
      <c r="D110" s="53"/>
      <c r="E110" s="53"/>
      <c r="F110" s="53">
        <f t="shared" si="11"/>
        <v>16408</v>
      </c>
      <c r="G110" s="8"/>
    </row>
    <row r="111" spans="1:7" ht="24.75" customHeight="1" x14ac:dyDescent="0.35">
      <c r="A111" s="48"/>
      <c r="B111" s="9"/>
      <c r="C111" s="8"/>
      <c r="D111" s="53"/>
      <c r="E111" s="53"/>
      <c r="F111" s="53">
        <f t="shared" si="11"/>
        <v>16408</v>
      </c>
      <c r="G111" s="8"/>
    </row>
    <row r="112" spans="1:7" ht="24.75" customHeight="1" x14ac:dyDescent="0.35">
      <c r="A112" s="48"/>
      <c r="B112" s="9"/>
      <c r="C112" s="8"/>
      <c r="D112" s="53"/>
      <c r="E112" s="53"/>
      <c r="F112" s="53">
        <f t="shared" si="11"/>
        <v>16408</v>
      </c>
      <c r="G112" s="8"/>
    </row>
    <row r="113" spans="1:7" ht="24.75" customHeight="1" x14ac:dyDescent="0.35">
      <c r="A113" s="48"/>
      <c r="B113" s="9"/>
      <c r="C113" s="8"/>
      <c r="D113" s="53"/>
      <c r="E113" s="53"/>
      <c r="F113" s="53">
        <f t="shared" si="11"/>
        <v>16408</v>
      </c>
      <c r="G113" s="8"/>
    </row>
    <row r="114" spans="1:7" ht="24.75" customHeight="1" x14ac:dyDescent="0.35">
      <c r="A114" s="48"/>
      <c r="B114" s="9"/>
      <c r="C114" s="8"/>
      <c r="D114" s="53"/>
      <c r="E114" s="53"/>
      <c r="F114" s="53">
        <f>F113+D114</f>
        <v>16408</v>
      </c>
      <c r="G114" s="8"/>
    </row>
    <row r="115" spans="1:7" ht="24.75" customHeight="1" x14ac:dyDescent="0.35">
      <c r="A115" s="48"/>
      <c r="B115" s="9"/>
      <c r="C115" s="8"/>
      <c r="D115" s="53"/>
      <c r="E115" s="53"/>
      <c r="F115" s="53">
        <f>F114-E115</f>
        <v>16408</v>
      </c>
      <c r="G115" s="8"/>
    </row>
    <row r="116" spans="1:7" ht="24.75" customHeight="1" x14ac:dyDescent="0.35">
      <c r="A116" s="48"/>
      <c r="B116" s="9"/>
      <c r="C116" s="8"/>
      <c r="D116" s="53"/>
      <c r="E116" s="53"/>
      <c r="F116" s="53">
        <f>F115-E116</f>
        <v>16408</v>
      </c>
      <c r="G116" s="8"/>
    </row>
    <row r="117" spans="1:7" ht="24.75" customHeight="1" x14ac:dyDescent="0.35">
      <c r="A117" s="48"/>
      <c r="B117" s="9"/>
      <c r="C117" s="8"/>
      <c r="D117" s="53"/>
      <c r="E117" s="53"/>
      <c r="F117" s="53">
        <f>F116+D117</f>
        <v>16408</v>
      </c>
      <c r="G117" s="8"/>
    </row>
    <row r="118" spans="1:7" ht="24.75" customHeight="1" x14ac:dyDescent="0.35">
      <c r="A118" s="48"/>
      <c r="B118" s="9"/>
      <c r="C118" s="8"/>
      <c r="D118" s="53"/>
      <c r="E118" s="53"/>
      <c r="F118" s="53">
        <f>F117+D118</f>
        <v>16408</v>
      </c>
      <c r="G118" s="8"/>
    </row>
    <row r="119" spans="1:7" ht="24.75" customHeight="1" x14ac:dyDescent="0.35">
      <c r="A119" s="48"/>
      <c r="B119" s="9"/>
      <c r="C119" s="8"/>
      <c r="D119" s="53"/>
      <c r="E119" s="53"/>
      <c r="F119" s="53">
        <f>F118-E119</f>
        <v>16408</v>
      </c>
      <c r="G119" s="8"/>
    </row>
    <row r="120" spans="1:7" ht="24.75" customHeight="1" x14ac:dyDescent="0.35">
      <c r="A120" s="48"/>
      <c r="B120" s="9"/>
      <c r="C120" s="8"/>
      <c r="D120" s="53"/>
      <c r="E120" s="53"/>
      <c r="F120" s="53">
        <f t="shared" ref="F120:F126" si="12">F119-E120</f>
        <v>16408</v>
      </c>
      <c r="G120" s="8"/>
    </row>
    <row r="121" spans="1:7" ht="24.75" customHeight="1" x14ac:dyDescent="0.35">
      <c r="A121" s="48"/>
      <c r="B121" s="9"/>
      <c r="C121" s="8"/>
      <c r="D121" s="53"/>
      <c r="E121" s="53"/>
      <c r="F121" s="53">
        <f t="shared" si="12"/>
        <v>16408</v>
      </c>
      <c r="G121" s="8"/>
    </row>
    <row r="122" spans="1:7" ht="24.75" customHeight="1" x14ac:dyDescent="0.35">
      <c r="A122" s="48"/>
      <c r="B122" s="9"/>
      <c r="C122" s="8"/>
      <c r="D122" s="53"/>
      <c r="E122" s="53"/>
      <c r="F122" s="53">
        <f t="shared" si="12"/>
        <v>16408</v>
      </c>
      <c r="G122" s="8"/>
    </row>
    <row r="123" spans="1:7" ht="24.75" customHeight="1" x14ac:dyDescent="0.35">
      <c r="A123" s="48"/>
      <c r="B123" s="9"/>
      <c r="C123" s="8"/>
      <c r="D123" s="53"/>
      <c r="E123" s="53"/>
      <c r="F123" s="53">
        <f t="shared" si="12"/>
        <v>16408</v>
      </c>
      <c r="G123" s="8"/>
    </row>
    <row r="124" spans="1:7" ht="24.75" customHeight="1" x14ac:dyDescent="0.35">
      <c r="A124" s="48"/>
      <c r="B124" s="9"/>
      <c r="C124" s="8"/>
      <c r="D124" s="53"/>
      <c r="E124" s="53"/>
      <c r="F124" s="53">
        <f t="shared" si="12"/>
        <v>16408</v>
      </c>
      <c r="G124" s="8"/>
    </row>
    <row r="125" spans="1:7" ht="24.75" customHeight="1" x14ac:dyDescent="0.35">
      <c r="A125" s="48"/>
      <c r="B125" s="9"/>
      <c r="C125" s="8"/>
      <c r="D125" s="53"/>
      <c r="E125" s="53"/>
      <c r="F125" s="53">
        <f t="shared" si="12"/>
        <v>16408</v>
      </c>
      <c r="G125" s="8"/>
    </row>
    <row r="126" spans="1:7" ht="24.75" customHeight="1" x14ac:dyDescent="0.35">
      <c r="A126" s="48"/>
      <c r="B126" s="9"/>
      <c r="C126" s="8"/>
      <c r="D126" s="53"/>
      <c r="E126" s="53"/>
      <c r="F126" s="53">
        <f t="shared" si="12"/>
        <v>16408</v>
      </c>
      <c r="G126" s="8"/>
    </row>
    <row r="127" spans="1:7" ht="24.75" customHeight="1" x14ac:dyDescent="0.35">
      <c r="A127" s="48"/>
      <c r="B127" s="9"/>
      <c r="C127" s="8"/>
      <c r="D127" s="53"/>
      <c r="E127" s="53"/>
      <c r="F127" s="53">
        <f>F126+D127</f>
        <v>16408</v>
      </c>
      <c r="G127" s="8"/>
    </row>
    <row r="128" spans="1:7" ht="24.75" customHeight="1" x14ac:dyDescent="0.35">
      <c r="A128" s="48"/>
      <c r="B128" s="9"/>
      <c r="C128" s="8"/>
      <c r="D128" s="53"/>
      <c r="E128" s="53"/>
      <c r="F128" s="53">
        <f>F127-E128</f>
        <v>16408</v>
      </c>
      <c r="G128" s="8"/>
    </row>
    <row r="129" spans="1:7" ht="24.75" customHeight="1" x14ac:dyDescent="0.35">
      <c r="A129" s="48"/>
      <c r="B129" s="9"/>
      <c r="C129" s="8"/>
      <c r="D129" s="53"/>
      <c r="E129" s="53"/>
      <c r="F129" s="53">
        <f>F128+D129</f>
        <v>16408</v>
      </c>
      <c r="G129" s="8"/>
    </row>
    <row r="130" spans="1:7" ht="24.75" customHeight="1" x14ac:dyDescent="0.35">
      <c r="A130" s="48"/>
      <c r="B130" s="9"/>
      <c r="C130" s="8"/>
      <c r="D130" s="53"/>
      <c r="E130" s="53"/>
      <c r="F130" s="53">
        <f>F129-E130</f>
        <v>16408</v>
      </c>
      <c r="G130" s="8"/>
    </row>
    <row r="131" spans="1:7" ht="24.75" customHeight="1" x14ac:dyDescent="0.35">
      <c r="A131" s="48"/>
      <c r="B131" s="9"/>
      <c r="C131" s="8"/>
      <c r="D131" s="53"/>
      <c r="E131" s="53"/>
      <c r="F131" s="53">
        <f>F130-E131</f>
        <v>16408</v>
      </c>
      <c r="G131" s="8"/>
    </row>
    <row r="132" spans="1:7" ht="24.75" customHeight="1" x14ac:dyDescent="0.35">
      <c r="A132" s="48"/>
      <c r="B132" s="9"/>
      <c r="C132" s="8"/>
      <c r="D132" s="53"/>
      <c r="E132" s="53"/>
      <c r="F132" s="53">
        <f>F131+D132</f>
        <v>16408</v>
      </c>
      <c r="G132" s="8"/>
    </row>
    <row r="133" spans="1:7" ht="24.75" customHeight="1" x14ac:dyDescent="0.35">
      <c r="A133" s="48"/>
      <c r="B133" s="9"/>
      <c r="C133" s="8"/>
      <c r="D133" s="53"/>
      <c r="E133" s="53"/>
      <c r="F133" s="53"/>
      <c r="G133" s="8"/>
    </row>
    <row r="134" spans="1:7" ht="24.75" customHeight="1" x14ac:dyDescent="0.35">
      <c r="A134" s="48"/>
      <c r="B134" s="9"/>
      <c r="C134" s="8"/>
      <c r="D134" s="53"/>
      <c r="E134" s="53"/>
      <c r="F134" s="53"/>
      <c r="G134" s="8"/>
    </row>
    <row r="135" spans="1:7" ht="24.75" customHeight="1" x14ac:dyDescent="0.35">
      <c r="A135" s="48"/>
      <c r="B135" s="9"/>
      <c r="C135" s="8"/>
      <c r="D135" s="53"/>
      <c r="E135" s="53"/>
      <c r="F135" s="53"/>
      <c r="G135" s="8"/>
    </row>
    <row r="136" spans="1:7" ht="24.75" customHeight="1" x14ac:dyDescent="0.35">
      <c r="A136" s="48"/>
      <c r="B136" s="9"/>
      <c r="C136" s="8"/>
      <c r="D136" s="53"/>
      <c r="E136" s="53"/>
      <c r="F136" s="53"/>
      <c r="G136" s="8"/>
    </row>
    <row r="137" spans="1:7" ht="24.75" customHeight="1" x14ac:dyDescent="0.35">
      <c r="A137" s="48"/>
      <c r="B137" s="9"/>
      <c r="C137" s="8"/>
      <c r="D137" s="53"/>
      <c r="E137" s="53"/>
      <c r="F137" s="53"/>
      <c r="G137" s="8"/>
    </row>
    <row r="138" spans="1:7" ht="24.75" customHeight="1" x14ac:dyDescent="0.35">
      <c r="A138" s="48"/>
      <c r="B138" s="9"/>
      <c r="C138" s="8"/>
      <c r="D138" s="53"/>
      <c r="E138" s="53"/>
      <c r="F138" s="53"/>
      <c r="G138" s="8"/>
    </row>
    <row r="139" spans="1:7" ht="24.75" customHeight="1" x14ac:dyDescent="0.35">
      <c r="A139" s="48"/>
      <c r="B139" s="9"/>
      <c r="C139" s="8"/>
      <c r="D139" s="53"/>
      <c r="E139" s="53"/>
      <c r="F139" s="53"/>
      <c r="G139" s="8"/>
    </row>
    <row r="140" spans="1:7" ht="24.75" customHeight="1" x14ac:dyDescent="0.35">
      <c r="A140" s="48"/>
      <c r="B140" s="9"/>
      <c r="C140" s="8"/>
      <c r="D140" s="53"/>
      <c r="E140" s="53"/>
      <c r="F140" s="53"/>
      <c r="G140" s="8"/>
    </row>
    <row r="141" spans="1:7" ht="24.75" customHeight="1" x14ac:dyDescent="0.35">
      <c r="A141" s="48"/>
      <c r="B141" s="9"/>
      <c r="C141" s="8"/>
      <c r="D141" s="53"/>
      <c r="E141" s="53"/>
      <c r="F141" s="53"/>
      <c r="G141" s="8"/>
    </row>
    <row r="142" spans="1:7" ht="24.75" customHeight="1" x14ac:dyDescent="0.35">
      <c r="A142" s="48"/>
      <c r="B142" s="9"/>
      <c r="C142" s="8"/>
      <c r="D142" s="53"/>
      <c r="E142" s="53"/>
      <c r="F142" s="53"/>
      <c r="G142" s="8"/>
    </row>
    <row r="143" spans="1:7" ht="24.75" customHeight="1" x14ac:dyDescent="0.35">
      <c r="A143" s="48"/>
      <c r="B143" s="9"/>
      <c r="C143" s="8"/>
      <c r="D143" s="53"/>
      <c r="E143" s="53"/>
      <c r="F143" s="53"/>
      <c r="G143" s="8"/>
    </row>
    <row r="144" spans="1:7" ht="24.75" customHeight="1" x14ac:dyDescent="0.35">
      <c r="A144" s="48"/>
      <c r="B144" s="9"/>
      <c r="C144" s="8"/>
      <c r="D144" s="53"/>
      <c r="E144" s="53"/>
      <c r="F144" s="53"/>
      <c r="G144" s="8"/>
    </row>
    <row r="145" spans="1:7" ht="24.75" customHeight="1" x14ac:dyDescent="0.35">
      <c r="A145" s="48"/>
      <c r="B145" s="9"/>
      <c r="C145" s="8"/>
      <c r="D145" s="53"/>
      <c r="E145" s="53"/>
      <c r="F145" s="53"/>
      <c r="G145" s="8"/>
    </row>
    <row r="146" spans="1:7" ht="24.75" customHeight="1" x14ac:dyDescent="0.35">
      <c r="A146" s="48"/>
      <c r="B146" s="9"/>
      <c r="C146" s="8"/>
      <c r="D146" s="53"/>
      <c r="E146" s="53"/>
      <c r="F146" s="53"/>
      <c r="G146" s="8"/>
    </row>
    <row r="147" spans="1:7" ht="24.75" customHeight="1" x14ac:dyDescent="0.35">
      <c r="A147" s="48"/>
      <c r="B147" s="9"/>
      <c r="C147" s="8"/>
      <c r="D147" s="53"/>
      <c r="E147" s="53"/>
      <c r="F147" s="53"/>
      <c r="G147" s="8"/>
    </row>
    <row r="148" spans="1:7" ht="24.75" customHeight="1" x14ac:dyDescent="0.35">
      <c r="A148" s="48"/>
      <c r="B148" s="9"/>
      <c r="C148" s="8"/>
      <c r="D148" s="53"/>
      <c r="E148" s="53"/>
      <c r="F148" s="53"/>
      <c r="G148" s="8"/>
    </row>
    <row r="149" spans="1:7" ht="24.75" customHeight="1" x14ac:dyDescent="0.35">
      <c r="A149" s="48"/>
      <c r="B149" s="9"/>
      <c r="C149" s="8"/>
      <c r="D149" s="53"/>
      <c r="E149" s="53"/>
      <c r="F149" s="53"/>
      <c r="G149" s="8"/>
    </row>
    <row r="150" spans="1:7" ht="24.75" customHeight="1" x14ac:dyDescent="0.35">
      <c r="A150" s="48"/>
      <c r="B150" s="9"/>
      <c r="C150" s="8"/>
      <c r="D150" s="53"/>
      <c r="E150" s="53"/>
      <c r="F150" s="53"/>
      <c r="G150" s="8"/>
    </row>
    <row r="151" spans="1:7" ht="24.75" customHeight="1" x14ac:dyDescent="0.35">
      <c r="A151" s="48"/>
      <c r="B151" s="9"/>
      <c r="C151" s="8"/>
      <c r="D151" s="53"/>
      <c r="E151" s="53"/>
      <c r="F151" s="53"/>
      <c r="G151" s="8"/>
    </row>
    <row r="152" spans="1:7" ht="24.75" customHeight="1" x14ac:dyDescent="0.35">
      <c r="A152" s="48"/>
      <c r="B152" s="9"/>
      <c r="C152" s="8"/>
      <c r="D152" s="53"/>
      <c r="E152" s="53"/>
      <c r="F152" s="53"/>
      <c r="G152" s="8"/>
    </row>
    <row r="153" spans="1:7" ht="21" customHeight="1" x14ac:dyDescent="0.35">
      <c r="A153" s="57"/>
      <c r="B153" s="58"/>
      <c r="C153" s="57" t="s">
        <v>40</v>
      </c>
      <c r="D153" s="59">
        <f>SUM(D3:D68)</f>
        <v>70000</v>
      </c>
      <c r="E153" s="59">
        <f>SUM(E3:E83)</f>
        <v>53592</v>
      </c>
      <c r="F153" s="59"/>
      <c r="G153" s="57"/>
    </row>
  </sheetData>
  <mergeCells count="1">
    <mergeCell ref="A1:G1"/>
  </mergeCells>
  <phoneticPr fontId="15" type="noConversion"/>
  <printOptions horizontalCentered="1"/>
  <pageMargins left="0.5" right="0.5" top="0.5" bottom="0.5" header="0.3" footer="0.3"/>
  <pageSetup paperSize="9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1A075-DCD1-4607-A0D4-F8315ECE5235}">
  <dimension ref="A1:K23"/>
  <sheetViews>
    <sheetView workbookViewId="0">
      <selection activeCell="H4" sqref="H4:H19"/>
    </sheetView>
  </sheetViews>
  <sheetFormatPr defaultRowHeight="21" customHeight="1" x14ac:dyDescent="0.2"/>
  <cols>
    <col min="1" max="1" width="12.5" style="74" customWidth="1"/>
    <col min="2" max="2" width="10.875" style="74" customWidth="1"/>
    <col min="3" max="3" width="36" style="65" customWidth="1"/>
    <col min="4" max="4" width="15.25" style="87" customWidth="1"/>
    <col min="5" max="5" width="15.25" style="87" hidden="1" customWidth="1"/>
    <col min="6" max="8" width="15.25" style="87" customWidth="1"/>
    <col min="9" max="9" width="15.25" style="65" customWidth="1"/>
    <col min="10" max="10" width="9" style="65"/>
    <col min="11" max="11" width="9.875" style="65" bestFit="1" customWidth="1"/>
    <col min="12" max="16384" width="9" style="65"/>
  </cols>
  <sheetData>
    <row r="1" spans="1:11" ht="21" customHeight="1" x14ac:dyDescent="0.2">
      <c r="A1" s="185" t="s">
        <v>25</v>
      </c>
      <c r="B1" s="185"/>
      <c r="C1" s="185"/>
      <c r="D1" s="185"/>
      <c r="E1" s="185"/>
      <c r="F1" s="185"/>
      <c r="G1" s="185"/>
      <c r="H1" s="185"/>
      <c r="I1" s="185"/>
    </row>
    <row r="2" spans="1:11" ht="40.5" customHeight="1" x14ac:dyDescent="0.2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41</v>
      </c>
      <c r="F2" s="52" t="s">
        <v>42</v>
      </c>
      <c r="G2" s="52" t="s">
        <v>34</v>
      </c>
      <c r="H2" s="52" t="s">
        <v>43</v>
      </c>
      <c r="I2" s="51" t="s">
        <v>5</v>
      </c>
    </row>
    <row r="3" spans="1:11" ht="24" customHeight="1" x14ac:dyDescent="0.2">
      <c r="A3" s="109"/>
      <c r="B3" s="63"/>
      <c r="C3" s="63" t="s">
        <v>137</v>
      </c>
      <c r="D3" s="84">
        <v>226080</v>
      </c>
      <c r="E3" s="84"/>
      <c r="F3" s="84"/>
      <c r="G3" s="84">
        <v>226080</v>
      </c>
      <c r="H3" s="84"/>
      <c r="I3" s="61"/>
    </row>
    <row r="4" spans="1:11" ht="24" customHeight="1" x14ac:dyDescent="0.2">
      <c r="A4" s="109"/>
      <c r="B4" s="63"/>
      <c r="C4" s="42"/>
      <c r="D4" s="84"/>
      <c r="E4" s="84"/>
      <c r="F4" s="84"/>
      <c r="G4" s="84">
        <f>G3-F4</f>
        <v>226080</v>
      </c>
      <c r="H4" s="84"/>
      <c r="I4" s="61"/>
    </row>
    <row r="5" spans="1:11" ht="24" customHeight="1" x14ac:dyDescent="0.2">
      <c r="A5" s="110"/>
      <c r="B5" s="63"/>
      <c r="C5" s="42"/>
      <c r="D5" s="84"/>
      <c r="E5" s="84"/>
      <c r="F5" s="84"/>
      <c r="G5" s="84">
        <f t="shared" ref="G5:G19" si="0">G4-F5</f>
        <v>226080</v>
      </c>
      <c r="H5" s="84"/>
      <c r="I5" s="61"/>
    </row>
    <row r="6" spans="1:11" ht="24" customHeight="1" x14ac:dyDescent="0.2">
      <c r="A6" s="110"/>
      <c r="B6" s="63"/>
      <c r="C6" s="42"/>
      <c r="D6" s="84"/>
      <c r="E6" s="84"/>
      <c r="F6" s="84"/>
      <c r="G6" s="84">
        <f t="shared" si="0"/>
        <v>226080</v>
      </c>
      <c r="H6" s="84"/>
      <c r="I6" s="61"/>
    </row>
    <row r="7" spans="1:11" ht="24" customHeight="1" x14ac:dyDescent="0.2">
      <c r="A7" s="110"/>
      <c r="B7" s="85"/>
      <c r="C7" s="42"/>
      <c r="D7" s="84"/>
      <c r="E7" s="84"/>
      <c r="F7" s="84"/>
      <c r="G7" s="84">
        <f t="shared" si="0"/>
        <v>226080</v>
      </c>
      <c r="H7" s="112"/>
      <c r="I7" s="61"/>
    </row>
    <row r="8" spans="1:11" ht="24" customHeight="1" x14ac:dyDescent="0.2">
      <c r="A8" s="110"/>
      <c r="B8" s="63"/>
      <c r="C8" s="42"/>
      <c r="D8" s="84"/>
      <c r="E8" s="84"/>
      <c r="F8" s="84"/>
      <c r="G8" s="84">
        <f t="shared" si="0"/>
        <v>226080</v>
      </c>
      <c r="H8" s="84"/>
      <c r="I8" s="61"/>
    </row>
    <row r="9" spans="1:11" ht="24" customHeight="1" x14ac:dyDescent="0.2">
      <c r="A9" s="110"/>
      <c r="B9" s="85"/>
      <c r="C9" s="42"/>
      <c r="D9" s="84"/>
      <c r="E9" s="84"/>
      <c r="F9" s="84"/>
      <c r="G9" s="84">
        <f t="shared" si="0"/>
        <v>226080</v>
      </c>
      <c r="H9" s="84"/>
      <c r="I9" s="61"/>
    </row>
    <row r="10" spans="1:11" ht="24" customHeight="1" x14ac:dyDescent="0.2">
      <c r="A10" s="110"/>
      <c r="B10" s="63"/>
      <c r="C10" s="42"/>
      <c r="D10" s="84"/>
      <c r="E10" s="84"/>
      <c r="F10" s="84"/>
      <c r="G10" s="84">
        <f t="shared" si="0"/>
        <v>226080</v>
      </c>
      <c r="H10" s="84"/>
      <c r="I10" s="61"/>
    </row>
    <row r="11" spans="1:11" ht="24" customHeight="1" x14ac:dyDescent="0.2">
      <c r="A11" s="110"/>
      <c r="B11" s="63"/>
      <c r="C11" s="42"/>
      <c r="D11" s="84"/>
      <c r="E11" s="84"/>
      <c r="F11" s="84"/>
      <c r="G11" s="84">
        <f t="shared" si="0"/>
        <v>226080</v>
      </c>
      <c r="H11" s="84"/>
      <c r="I11" s="61"/>
    </row>
    <row r="12" spans="1:11" ht="24" customHeight="1" x14ac:dyDescent="0.2">
      <c r="A12" s="110"/>
      <c r="B12" s="63"/>
      <c r="C12" s="42"/>
      <c r="D12" s="84"/>
      <c r="E12" s="84"/>
      <c r="F12" s="84"/>
      <c r="G12" s="84">
        <f t="shared" si="0"/>
        <v>226080</v>
      </c>
      <c r="H12" s="84"/>
      <c r="I12" s="61"/>
      <c r="K12" s="90"/>
    </row>
    <row r="13" spans="1:11" ht="24" customHeight="1" x14ac:dyDescent="0.2">
      <c r="A13" s="110"/>
      <c r="B13" s="63"/>
      <c r="C13" s="42"/>
      <c r="D13" s="84"/>
      <c r="E13" s="84"/>
      <c r="F13" s="84"/>
      <c r="G13" s="84">
        <f t="shared" si="0"/>
        <v>226080</v>
      </c>
      <c r="H13" s="84"/>
      <c r="I13" s="61"/>
    </row>
    <row r="14" spans="1:11" ht="24" customHeight="1" x14ac:dyDescent="0.2">
      <c r="A14" s="110"/>
      <c r="B14" s="63"/>
      <c r="C14" s="42"/>
      <c r="D14" s="84"/>
      <c r="E14" s="84"/>
      <c r="F14" s="84"/>
      <c r="G14" s="84">
        <f t="shared" si="0"/>
        <v>226080</v>
      </c>
      <c r="H14" s="84"/>
      <c r="I14" s="61"/>
    </row>
    <row r="15" spans="1:11" ht="24" customHeight="1" x14ac:dyDescent="0.2">
      <c r="A15" s="110"/>
      <c r="B15" s="63"/>
      <c r="C15" s="111"/>
      <c r="D15" s="84"/>
      <c r="E15" s="84"/>
      <c r="F15" s="84"/>
      <c r="G15" s="84">
        <f t="shared" si="0"/>
        <v>226080</v>
      </c>
      <c r="H15" s="84"/>
      <c r="I15" s="61"/>
    </row>
    <row r="16" spans="1:11" ht="24" customHeight="1" x14ac:dyDescent="0.2">
      <c r="A16" s="110"/>
      <c r="B16" s="63"/>
      <c r="C16" s="63"/>
      <c r="D16" s="84"/>
      <c r="E16" s="84"/>
      <c r="F16" s="84"/>
      <c r="G16" s="84">
        <f>G15+D16</f>
        <v>226080</v>
      </c>
      <c r="H16" s="84"/>
      <c r="I16" s="61"/>
    </row>
    <row r="17" spans="1:9" ht="24" customHeight="1" x14ac:dyDescent="0.2">
      <c r="A17" s="110"/>
      <c r="B17" s="63"/>
      <c r="C17" s="111"/>
      <c r="D17" s="84"/>
      <c r="E17" s="84"/>
      <c r="F17" s="84"/>
      <c r="G17" s="84">
        <f>G16-F17</f>
        <v>226080</v>
      </c>
      <c r="H17" s="84"/>
      <c r="I17" s="61"/>
    </row>
    <row r="18" spans="1:9" ht="24" customHeight="1" x14ac:dyDescent="0.2">
      <c r="A18" s="110"/>
      <c r="B18" s="63"/>
      <c r="C18" s="111"/>
      <c r="D18" s="84"/>
      <c r="E18" s="84"/>
      <c r="F18" s="84"/>
      <c r="G18" s="84">
        <f t="shared" si="0"/>
        <v>226080</v>
      </c>
      <c r="H18" s="84"/>
      <c r="I18" s="61"/>
    </row>
    <row r="19" spans="1:9" ht="24" customHeight="1" x14ac:dyDescent="0.35">
      <c r="A19" s="106"/>
      <c r="B19" s="9"/>
      <c r="C19" s="56"/>
      <c r="D19" s="84"/>
      <c r="E19" s="84"/>
      <c r="F19" s="53"/>
      <c r="G19" s="84">
        <f t="shared" si="0"/>
        <v>226080</v>
      </c>
      <c r="H19" s="84"/>
      <c r="I19" s="61"/>
    </row>
    <row r="20" spans="1:9" ht="24" customHeight="1" x14ac:dyDescent="0.35">
      <c r="A20" s="106"/>
      <c r="B20" s="9"/>
      <c r="C20" s="8"/>
      <c r="D20" s="84"/>
      <c r="E20" s="84"/>
      <c r="F20" s="53"/>
      <c r="G20" s="84"/>
      <c r="H20" s="84"/>
      <c r="I20" s="61"/>
    </row>
    <row r="21" spans="1:9" ht="24" customHeight="1" x14ac:dyDescent="0.2">
      <c r="A21" s="63"/>
      <c r="B21" s="63"/>
      <c r="C21" s="61"/>
      <c r="D21" s="84"/>
      <c r="E21" s="84"/>
      <c r="F21" s="84"/>
      <c r="G21" s="84"/>
      <c r="H21" s="84"/>
      <c r="I21" s="61"/>
    </row>
    <row r="22" spans="1:9" ht="24" customHeight="1" x14ac:dyDescent="0.2">
      <c r="A22" s="63"/>
      <c r="B22" s="63"/>
      <c r="C22" s="61"/>
      <c r="D22" s="84"/>
      <c r="E22" s="84"/>
      <c r="F22" s="84"/>
      <c r="G22" s="84"/>
      <c r="H22" s="84"/>
      <c r="I22" s="61"/>
    </row>
    <row r="23" spans="1:9" ht="24" customHeight="1" x14ac:dyDescent="0.2">
      <c r="A23" s="73"/>
      <c r="B23" s="73"/>
      <c r="C23" s="64" t="s">
        <v>40</v>
      </c>
      <c r="D23" s="86">
        <f>SUM(D3:D22)</f>
        <v>226080</v>
      </c>
      <c r="E23" s="86">
        <f>SUM(E3:E22)</f>
        <v>0</v>
      </c>
      <c r="F23" s="86">
        <f>SUM(F3:F22)</f>
        <v>0</v>
      </c>
      <c r="G23" s="86"/>
      <c r="H23" s="86"/>
      <c r="I23" s="64"/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BE790-BF66-4E23-8860-099DC51BD4AA}">
  <dimension ref="A1:G53"/>
  <sheetViews>
    <sheetView topLeftCell="A7" workbookViewId="0">
      <selection activeCell="G12" sqref="G12"/>
    </sheetView>
  </sheetViews>
  <sheetFormatPr defaultRowHeight="21" customHeight="1" x14ac:dyDescent="0.35"/>
  <cols>
    <col min="1" max="1" width="12.5" style="50" customWidth="1"/>
    <col min="2" max="2" width="10.875" style="55" customWidth="1"/>
    <col min="3" max="3" width="33.125" style="50" customWidth="1"/>
    <col min="4" max="6" width="16.5" style="54" customWidth="1"/>
    <col min="7" max="7" width="16.5" style="50" customWidth="1"/>
    <col min="8" max="16384" width="9" style="50"/>
  </cols>
  <sheetData>
    <row r="1" spans="1:7" ht="21" customHeight="1" x14ac:dyDescent="0.35">
      <c r="A1" s="184" t="s">
        <v>132</v>
      </c>
      <c r="B1" s="184"/>
      <c r="C1" s="184"/>
      <c r="D1" s="184"/>
      <c r="E1" s="184"/>
      <c r="F1" s="184"/>
      <c r="G1" s="184"/>
    </row>
    <row r="2" spans="1:7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7" ht="24" customHeight="1" x14ac:dyDescent="0.35">
      <c r="A3" s="49">
        <v>45972</v>
      </c>
      <c r="B3" s="9"/>
      <c r="C3" s="9" t="s">
        <v>136</v>
      </c>
      <c r="D3" s="53">
        <v>420450</v>
      </c>
      <c r="E3" s="53"/>
      <c r="F3" s="53">
        <v>420450</v>
      </c>
      <c r="G3" s="8"/>
    </row>
    <row r="4" spans="1:7" ht="24" customHeight="1" x14ac:dyDescent="0.35">
      <c r="A4" s="49"/>
      <c r="B4" s="9"/>
      <c r="C4" s="8"/>
      <c r="D4" s="53"/>
      <c r="E4" s="53">
        <v>833</v>
      </c>
      <c r="F4" s="53">
        <f>F3-E4</f>
        <v>419617</v>
      </c>
      <c r="G4" s="8"/>
    </row>
    <row r="5" spans="1:7" ht="24" customHeight="1" x14ac:dyDescent="0.35">
      <c r="A5" s="48"/>
      <c r="B5" s="9"/>
      <c r="C5" s="8"/>
      <c r="D5" s="53"/>
      <c r="E5" s="53">
        <v>101.65</v>
      </c>
      <c r="F5" s="53">
        <f t="shared" ref="F5:F52" si="0">F4-E5</f>
        <v>419515.35</v>
      </c>
      <c r="G5" s="8"/>
    </row>
    <row r="6" spans="1:7" ht="24" customHeight="1" x14ac:dyDescent="0.35">
      <c r="A6" s="48"/>
      <c r="B6" s="9"/>
      <c r="C6" s="8"/>
      <c r="D6" s="53"/>
      <c r="E6" s="53">
        <v>49465.27</v>
      </c>
      <c r="F6" s="53">
        <f t="shared" si="0"/>
        <v>370050.07999999996</v>
      </c>
      <c r="G6" s="8"/>
    </row>
    <row r="7" spans="1:7" ht="24" customHeight="1" x14ac:dyDescent="0.35">
      <c r="A7" s="48"/>
      <c r="B7" s="9"/>
      <c r="C7" s="8"/>
      <c r="D7" s="53"/>
      <c r="E7" s="53">
        <v>59027.4</v>
      </c>
      <c r="F7" s="53">
        <f t="shared" si="0"/>
        <v>311022.67999999993</v>
      </c>
      <c r="G7" s="8"/>
    </row>
    <row r="8" spans="1:7" ht="24" customHeight="1" x14ac:dyDescent="0.35">
      <c r="A8" s="48"/>
      <c r="B8" s="9"/>
      <c r="C8" s="8"/>
      <c r="D8" s="53"/>
      <c r="E8" s="53">
        <v>843</v>
      </c>
      <c r="F8" s="53">
        <f t="shared" si="0"/>
        <v>310179.67999999993</v>
      </c>
      <c r="G8" s="8"/>
    </row>
    <row r="9" spans="1:7" ht="24" customHeight="1" x14ac:dyDescent="0.35">
      <c r="A9" s="48"/>
      <c r="B9" s="9"/>
      <c r="C9" s="8"/>
      <c r="D9" s="53"/>
      <c r="E9" s="53">
        <v>40790.6</v>
      </c>
      <c r="F9" s="53">
        <f t="shared" si="0"/>
        <v>269389.07999999996</v>
      </c>
      <c r="G9" s="8"/>
    </row>
    <row r="10" spans="1:7" ht="24" customHeight="1" x14ac:dyDescent="0.35">
      <c r="A10" s="48"/>
      <c r="B10" s="9"/>
      <c r="C10" s="8"/>
      <c r="D10" s="53"/>
      <c r="E10" s="53">
        <v>110.8</v>
      </c>
      <c r="F10" s="53">
        <f t="shared" si="0"/>
        <v>269278.27999999997</v>
      </c>
      <c r="G10" s="8"/>
    </row>
    <row r="11" spans="1:7" ht="24" customHeight="1" x14ac:dyDescent="0.35">
      <c r="A11" s="69"/>
      <c r="B11" s="9"/>
      <c r="C11" s="8"/>
      <c r="D11" s="53"/>
      <c r="E11" s="53"/>
      <c r="F11" s="53">
        <f t="shared" si="0"/>
        <v>269278.27999999997</v>
      </c>
      <c r="G11" s="8"/>
    </row>
    <row r="12" spans="1:7" ht="24" customHeight="1" x14ac:dyDescent="0.35">
      <c r="A12" s="48"/>
      <c r="B12" s="9"/>
      <c r="C12" s="8"/>
      <c r="D12" s="53"/>
      <c r="E12" s="53"/>
      <c r="F12" s="53">
        <f t="shared" si="0"/>
        <v>269278.27999999997</v>
      </c>
      <c r="G12" s="8"/>
    </row>
    <row r="13" spans="1:7" ht="24" customHeight="1" x14ac:dyDescent="0.35">
      <c r="A13" s="48"/>
      <c r="B13" s="9"/>
      <c r="C13" s="8"/>
      <c r="D13" s="53"/>
      <c r="E13" s="53"/>
      <c r="F13" s="53">
        <f t="shared" si="0"/>
        <v>269278.27999999997</v>
      </c>
      <c r="G13" s="8"/>
    </row>
    <row r="14" spans="1:7" ht="24" customHeight="1" x14ac:dyDescent="0.35">
      <c r="A14" s="8"/>
      <c r="B14" s="9"/>
      <c r="C14" s="8"/>
      <c r="D14" s="53"/>
      <c r="E14" s="53"/>
      <c r="F14" s="53">
        <f t="shared" si="0"/>
        <v>269278.27999999997</v>
      </c>
      <c r="G14" s="8"/>
    </row>
    <row r="15" spans="1:7" ht="24" customHeight="1" x14ac:dyDescent="0.35">
      <c r="A15" s="8"/>
      <c r="B15" s="9"/>
      <c r="C15" s="8"/>
      <c r="D15" s="53"/>
      <c r="E15" s="53"/>
      <c r="F15" s="53">
        <f t="shared" si="0"/>
        <v>269278.27999999997</v>
      </c>
      <c r="G15" s="8"/>
    </row>
    <row r="16" spans="1:7" ht="24" customHeight="1" x14ac:dyDescent="0.35">
      <c r="A16" s="48"/>
      <c r="B16" s="9"/>
      <c r="C16" s="8"/>
      <c r="D16" s="53"/>
      <c r="E16" s="53"/>
      <c r="F16" s="53">
        <f t="shared" si="0"/>
        <v>269278.27999999997</v>
      </c>
      <c r="G16" s="8"/>
    </row>
    <row r="17" spans="1:7" ht="24" customHeight="1" x14ac:dyDescent="0.35">
      <c r="A17" s="8"/>
      <c r="B17" s="9"/>
      <c r="C17" s="8"/>
      <c r="D17" s="53"/>
      <c r="E17" s="53"/>
      <c r="F17" s="53">
        <f t="shared" si="0"/>
        <v>269278.27999999997</v>
      </c>
      <c r="G17" s="8"/>
    </row>
    <row r="18" spans="1:7" ht="24" customHeight="1" x14ac:dyDescent="0.35">
      <c r="A18" s="8"/>
      <c r="B18" s="9"/>
      <c r="C18" s="8"/>
      <c r="D18" s="53"/>
      <c r="E18" s="53"/>
      <c r="F18" s="53">
        <f t="shared" si="0"/>
        <v>269278.27999999997</v>
      </c>
      <c r="G18" s="8"/>
    </row>
    <row r="19" spans="1:7" ht="24" customHeight="1" x14ac:dyDescent="0.35">
      <c r="A19" s="8"/>
      <c r="B19" s="9"/>
      <c r="C19" s="8"/>
      <c r="D19" s="53"/>
      <c r="E19" s="53"/>
      <c r="F19" s="53">
        <f t="shared" si="0"/>
        <v>269278.27999999997</v>
      </c>
      <c r="G19" s="8"/>
    </row>
    <row r="20" spans="1:7" ht="24" customHeight="1" x14ac:dyDescent="0.35">
      <c r="A20" s="48"/>
      <c r="B20" s="9"/>
      <c r="C20" s="8"/>
      <c r="D20" s="53"/>
      <c r="E20" s="53"/>
      <c r="F20" s="53">
        <f t="shared" si="0"/>
        <v>269278.27999999997</v>
      </c>
      <c r="G20" s="8"/>
    </row>
    <row r="21" spans="1:7" ht="24" customHeight="1" x14ac:dyDescent="0.35">
      <c r="A21" s="48"/>
      <c r="B21" s="9"/>
      <c r="C21" s="8"/>
      <c r="D21" s="53"/>
      <c r="E21" s="53"/>
      <c r="F21" s="53">
        <f t="shared" si="0"/>
        <v>269278.27999999997</v>
      </c>
      <c r="G21" s="8"/>
    </row>
    <row r="22" spans="1:7" ht="24" customHeight="1" x14ac:dyDescent="0.35">
      <c r="A22" s="8"/>
      <c r="B22" s="9"/>
      <c r="C22" s="8"/>
      <c r="D22" s="53"/>
      <c r="E22" s="53"/>
      <c r="F22" s="53">
        <f t="shared" si="0"/>
        <v>269278.27999999997</v>
      </c>
      <c r="G22" s="8"/>
    </row>
    <row r="23" spans="1:7" ht="24" customHeight="1" x14ac:dyDescent="0.35">
      <c r="A23" s="8"/>
      <c r="B23" s="9"/>
      <c r="C23" s="8"/>
      <c r="D23" s="53"/>
      <c r="E23" s="53"/>
      <c r="F23" s="53">
        <f t="shared" si="0"/>
        <v>269278.27999999997</v>
      </c>
      <c r="G23" s="8"/>
    </row>
    <row r="24" spans="1:7" ht="24" customHeight="1" x14ac:dyDescent="0.35">
      <c r="A24" s="48"/>
      <c r="B24" s="9"/>
      <c r="C24" s="8"/>
      <c r="D24" s="53"/>
      <c r="E24" s="53"/>
      <c r="F24" s="53">
        <f t="shared" si="0"/>
        <v>269278.27999999997</v>
      </c>
      <c r="G24" s="8"/>
    </row>
    <row r="25" spans="1:7" ht="24" customHeight="1" x14ac:dyDescent="0.35">
      <c r="A25" s="48"/>
      <c r="B25" s="9"/>
      <c r="C25" s="8"/>
      <c r="D25" s="53"/>
      <c r="E25" s="53"/>
      <c r="F25" s="53">
        <f t="shared" si="0"/>
        <v>269278.27999999997</v>
      </c>
      <c r="G25" s="8"/>
    </row>
    <row r="26" spans="1:7" ht="24" customHeight="1" x14ac:dyDescent="0.35">
      <c r="A26" s="48"/>
      <c r="B26" s="9"/>
      <c r="C26" s="9"/>
      <c r="D26" s="53"/>
      <c r="E26" s="53"/>
      <c r="F26" s="53">
        <f t="shared" si="0"/>
        <v>269278.27999999997</v>
      </c>
      <c r="G26" s="8"/>
    </row>
    <row r="27" spans="1:7" ht="24" customHeight="1" x14ac:dyDescent="0.35">
      <c r="A27" s="8"/>
      <c r="B27" s="9"/>
      <c r="C27" s="8"/>
      <c r="D27" s="53"/>
      <c r="E27" s="53"/>
      <c r="F27" s="53">
        <f t="shared" si="0"/>
        <v>269278.27999999997</v>
      </c>
      <c r="G27" s="8"/>
    </row>
    <row r="28" spans="1:7" ht="24" customHeight="1" x14ac:dyDescent="0.35">
      <c r="A28" s="8"/>
      <c r="B28" s="9"/>
      <c r="C28" s="8"/>
      <c r="D28" s="53"/>
      <c r="E28" s="53"/>
      <c r="F28" s="53">
        <f t="shared" si="0"/>
        <v>269278.27999999997</v>
      </c>
      <c r="G28" s="8"/>
    </row>
    <row r="29" spans="1:7" ht="24" customHeight="1" x14ac:dyDescent="0.35">
      <c r="A29" s="8"/>
      <c r="B29" s="9"/>
      <c r="C29" s="8"/>
      <c r="D29" s="53"/>
      <c r="E29" s="53"/>
      <c r="F29" s="53">
        <f t="shared" si="0"/>
        <v>269278.27999999997</v>
      </c>
      <c r="G29" s="8"/>
    </row>
    <row r="30" spans="1:7" ht="24" customHeight="1" x14ac:dyDescent="0.35">
      <c r="A30" s="8"/>
      <c r="B30" s="9"/>
      <c r="C30" s="8"/>
      <c r="D30" s="53"/>
      <c r="E30" s="53"/>
      <c r="F30" s="53">
        <f t="shared" si="0"/>
        <v>269278.27999999997</v>
      </c>
      <c r="G30" s="8"/>
    </row>
    <row r="31" spans="1:7" ht="24" customHeight="1" x14ac:dyDescent="0.35">
      <c r="A31" s="8"/>
      <c r="B31" s="9"/>
      <c r="C31" s="8"/>
      <c r="D31" s="53"/>
      <c r="E31" s="53"/>
      <c r="F31" s="53">
        <f t="shared" si="0"/>
        <v>269278.27999999997</v>
      </c>
      <c r="G31" s="8"/>
    </row>
    <row r="32" spans="1:7" ht="24" customHeight="1" x14ac:dyDescent="0.35">
      <c r="A32" s="48"/>
      <c r="B32" s="9"/>
      <c r="C32" s="8"/>
      <c r="D32" s="53"/>
      <c r="E32" s="53"/>
      <c r="F32" s="53">
        <f t="shared" si="0"/>
        <v>269278.27999999997</v>
      </c>
      <c r="G32" s="8"/>
    </row>
    <row r="33" spans="1:7" ht="24" customHeight="1" x14ac:dyDescent="0.35">
      <c r="A33" s="48"/>
      <c r="B33" s="9"/>
      <c r="C33" s="8"/>
      <c r="D33" s="53"/>
      <c r="E33" s="53"/>
      <c r="F33" s="53">
        <f t="shared" si="0"/>
        <v>269278.27999999997</v>
      </c>
      <c r="G33" s="8"/>
    </row>
    <row r="34" spans="1:7" ht="24" customHeight="1" x14ac:dyDescent="0.35">
      <c r="A34" s="48"/>
      <c r="B34" s="9"/>
      <c r="C34" s="8"/>
      <c r="D34" s="53"/>
      <c r="E34" s="53"/>
      <c r="F34" s="53">
        <f t="shared" si="0"/>
        <v>269278.27999999997</v>
      </c>
      <c r="G34" s="8"/>
    </row>
    <row r="35" spans="1:7" ht="24" customHeight="1" x14ac:dyDescent="0.35">
      <c r="A35" s="8"/>
      <c r="B35" s="9"/>
      <c r="C35" s="8"/>
      <c r="D35" s="53"/>
      <c r="E35" s="53"/>
      <c r="F35" s="53">
        <f t="shared" si="0"/>
        <v>269278.27999999997</v>
      </c>
      <c r="G35" s="8"/>
    </row>
    <row r="36" spans="1:7" ht="24" customHeight="1" x14ac:dyDescent="0.35">
      <c r="A36" s="8"/>
      <c r="B36" s="9"/>
      <c r="C36" s="8"/>
      <c r="D36" s="53"/>
      <c r="E36" s="53"/>
      <c r="F36" s="53">
        <f t="shared" si="0"/>
        <v>269278.27999999997</v>
      </c>
      <c r="G36" s="8"/>
    </row>
    <row r="37" spans="1:7" ht="24" customHeight="1" x14ac:dyDescent="0.35">
      <c r="A37" s="48"/>
      <c r="B37" s="9"/>
      <c r="C37" s="8"/>
      <c r="D37" s="53"/>
      <c r="E37" s="53"/>
      <c r="F37" s="53">
        <f t="shared" si="0"/>
        <v>269278.27999999997</v>
      </c>
      <c r="G37" s="8"/>
    </row>
    <row r="38" spans="1:7" ht="24" customHeight="1" x14ac:dyDescent="0.35">
      <c r="A38" s="48"/>
      <c r="B38" s="9"/>
      <c r="C38" s="9"/>
      <c r="D38" s="53"/>
      <c r="E38" s="53"/>
      <c r="F38" s="53">
        <f t="shared" si="0"/>
        <v>269278.27999999997</v>
      </c>
      <c r="G38" s="8"/>
    </row>
    <row r="39" spans="1:7" ht="24" customHeight="1" x14ac:dyDescent="0.35">
      <c r="A39" s="48"/>
      <c r="B39" s="9"/>
      <c r="C39" s="8"/>
      <c r="D39" s="53"/>
      <c r="E39" s="53"/>
      <c r="F39" s="53">
        <f t="shared" si="0"/>
        <v>269278.27999999997</v>
      </c>
      <c r="G39" s="8"/>
    </row>
    <row r="40" spans="1:7" ht="24" customHeight="1" x14ac:dyDescent="0.35">
      <c r="A40" s="48"/>
      <c r="B40" s="9"/>
      <c r="C40" s="8"/>
      <c r="D40" s="53"/>
      <c r="E40" s="53"/>
      <c r="F40" s="53">
        <f t="shared" si="0"/>
        <v>269278.27999999997</v>
      </c>
      <c r="G40" s="8"/>
    </row>
    <row r="41" spans="1:7" ht="24" customHeight="1" x14ac:dyDescent="0.35">
      <c r="A41" s="48"/>
      <c r="B41" s="9"/>
      <c r="C41" s="8"/>
      <c r="D41" s="53"/>
      <c r="E41" s="53"/>
      <c r="F41" s="53">
        <f t="shared" si="0"/>
        <v>269278.27999999997</v>
      </c>
      <c r="G41" s="8"/>
    </row>
    <row r="42" spans="1:7" ht="24" customHeight="1" x14ac:dyDescent="0.35">
      <c r="A42" s="8"/>
      <c r="B42" s="9"/>
      <c r="C42" s="8"/>
      <c r="D42" s="53"/>
      <c r="E42" s="53"/>
      <c r="F42" s="53">
        <f t="shared" si="0"/>
        <v>269278.27999999997</v>
      </c>
      <c r="G42" s="8"/>
    </row>
    <row r="43" spans="1:7" ht="24" customHeight="1" x14ac:dyDescent="0.35">
      <c r="A43" s="8"/>
      <c r="B43" s="9"/>
      <c r="C43" s="8"/>
      <c r="D43" s="53"/>
      <c r="E43" s="53"/>
      <c r="F43" s="53">
        <f t="shared" si="0"/>
        <v>269278.27999999997</v>
      </c>
      <c r="G43" s="8"/>
    </row>
    <row r="44" spans="1:7" ht="24" customHeight="1" x14ac:dyDescent="0.35">
      <c r="A44" s="8"/>
      <c r="B44" s="9"/>
      <c r="C44" s="8"/>
      <c r="D44" s="53"/>
      <c r="E44" s="53"/>
      <c r="F44" s="53">
        <f t="shared" si="0"/>
        <v>269278.27999999997</v>
      </c>
      <c r="G44" s="8"/>
    </row>
    <row r="45" spans="1:7" ht="24" customHeight="1" x14ac:dyDescent="0.35">
      <c r="A45" s="48"/>
      <c r="B45" s="9"/>
      <c r="C45" s="8"/>
      <c r="D45" s="53"/>
      <c r="E45" s="53"/>
      <c r="F45" s="53">
        <f t="shared" si="0"/>
        <v>269278.27999999997</v>
      </c>
      <c r="G45" s="8"/>
    </row>
    <row r="46" spans="1:7" ht="24" customHeight="1" x14ac:dyDescent="0.35">
      <c r="A46" s="48"/>
      <c r="B46" s="9"/>
      <c r="C46" s="8"/>
      <c r="D46" s="53"/>
      <c r="E46" s="53"/>
      <c r="F46" s="53">
        <f t="shared" si="0"/>
        <v>269278.27999999997</v>
      </c>
      <c r="G46" s="8"/>
    </row>
    <row r="47" spans="1:7" ht="24" customHeight="1" x14ac:dyDescent="0.35">
      <c r="A47" s="48"/>
      <c r="B47" s="9"/>
      <c r="C47" s="8"/>
      <c r="D47" s="53"/>
      <c r="E47" s="53"/>
      <c r="F47" s="53">
        <f t="shared" si="0"/>
        <v>269278.27999999997</v>
      </c>
      <c r="G47" s="8"/>
    </row>
    <row r="48" spans="1:7" ht="24" customHeight="1" x14ac:dyDescent="0.35">
      <c r="A48" s="48"/>
      <c r="B48" s="9"/>
      <c r="C48" s="8"/>
      <c r="D48" s="53"/>
      <c r="E48" s="53"/>
      <c r="F48" s="53">
        <f t="shared" si="0"/>
        <v>269278.27999999997</v>
      </c>
      <c r="G48" s="8"/>
    </row>
    <row r="49" spans="1:7" ht="24" customHeight="1" x14ac:dyDescent="0.35">
      <c r="A49" s="8"/>
      <c r="B49" s="9"/>
      <c r="C49" s="8"/>
      <c r="D49" s="53"/>
      <c r="E49" s="53"/>
      <c r="F49" s="53">
        <f t="shared" si="0"/>
        <v>269278.27999999997</v>
      </c>
      <c r="G49" s="8"/>
    </row>
    <row r="50" spans="1:7" ht="24" customHeight="1" x14ac:dyDescent="0.35">
      <c r="A50" s="8"/>
      <c r="B50" s="9"/>
      <c r="C50" s="8"/>
      <c r="D50" s="53"/>
      <c r="E50" s="53"/>
      <c r="F50" s="53">
        <f t="shared" si="0"/>
        <v>269278.27999999997</v>
      </c>
      <c r="G50" s="8"/>
    </row>
    <row r="51" spans="1:7" ht="24" customHeight="1" x14ac:dyDescent="0.35">
      <c r="A51" s="8"/>
      <c r="B51" s="9"/>
      <c r="C51" s="8"/>
      <c r="D51" s="53"/>
      <c r="E51" s="53"/>
      <c r="F51" s="53">
        <f t="shared" si="0"/>
        <v>269278.27999999997</v>
      </c>
      <c r="G51" s="8"/>
    </row>
    <row r="52" spans="1:7" ht="24" customHeight="1" x14ac:dyDescent="0.35">
      <c r="A52" s="8"/>
      <c r="B52" s="9"/>
      <c r="C52" s="8"/>
      <c r="D52" s="53"/>
      <c r="E52" s="53"/>
      <c r="F52" s="53">
        <f t="shared" si="0"/>
        <v>269278.27999999997</v>
      </c>
      <c r="G52" s="8"/>
    </row>
    <row r="53" spans="1:7" ht="21" customHeight="1" x14ac:dyDescent="0.35">
      <c r="A53" s="57"/>
      <c r="B53" s="58"/>
      <c r="C53" s="57" t="s">
        <v>40</v>
      </c>
      <c r="D53" s="59">
        <f>SUM(D3:D52)</f>
        <v>420450</v>
      </c>
      <c r="E53" s="59">
        <f>SUM(E3:E52)</f>
        <v>151171.72</v>
      </c>
      <c r="F53" s="59"/>
      <c r="G53" s="57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CA094-30B7-4F0A-8BC9-F7F6B89893BF}">
  <dimension ref="A1:G16"/>
  <sheetViews>
    <sheetView workbookViewId="0">
      <selection sqref="A1:G1"/>
    </sheetView>
  </sheetViews>
  <sheetFormatPr defaultRowHeight="21" customHeight="1" x14ac:dyDescent="0.35"/>
  <cols>
    <col min="1" max="1" width="12.5" style="50" customWidth="1"/>
    <col min="2" max="2" width="10.875" style="55" customWidth="1"/>
    <col min="3" max="3" width="41.5" style="50" customWidth="1"/>
    <col min="4" max="6" width="16.25" style="54" customWidth="1"/>
    <col min="7" max="7" width="21.75" style="50" customWidth="1"/>
    <col min="8" max="16384" width="9" style="50"/>
  </cols>
  <sheetData>
    <row r="1" spans="1:7" ht="21" customHeight="1" x14ac:dyDescent="0.35">
      <c r="A1" s="184" t="s">
        <v>133</v>
      </c>
      <c r="B1" s="184"/>
      <c r="C1" s="184"/>
      <c r="D1" s="184"/>
      <c r="E1" s="184"/>
      <c r="F1" s="184"/>
      <c r="G1" s="184"/>
    </row>
    <row r="2" spans="1:7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7" ht="24.75" customHeight="1" x14ac:dyDescent="0.35">
      <c r="A3" s="49"/>
      <c r="B3" s="9"/>
      <c r="C3" s="9"/>
      <c r="D3" s="53"/>
      <c r="E3" s="53"/>
      <c r="F3" s="53"/>
      <c r="G3" s="8"/>
    </row>
    <row r="4" spans="1:7" ht="24.75" customHeight="1" x14ac:dyDescent="0.35">
      <c r="A4" s="49"/>
      <c r="B4" s="9"/>
      <c r="C4" s="8"/>
      <c r="D4" s="53"/>
      <c r="E4" s="53"/>
      <c r="F4" s="53"/>
      <c r="G4" s="8"/>
    </row>
    <row r="5" spans="1:7" ht="24.75" customHeight="1" x14ac:dyDescent="0.35">
      <c r="A5" s="48"/>
      <c r="B5" s="9"/>
      <c r="C5" s="8"/>
      <c r="D5" s="53"/>
      <c r="E5" s="53"/>
      <c r="F5" s="53"/>
      <c r="G5" s="8"/>
    </row>
    <row r="6" spans="1:7" ht="24.75" customHeight="1" x14ac:dyDescent="0.35">
      <c r="A6" s="48"/>
      <c r="B6" s="9"/>
      <c r="C6" s="8"/>
      <c r="D6" s="53"/>
      <c r="E6" s="53"/>
      <c r="F6" s="53"/>
      <c r="G6" s="8"/>
    </row>
    <row r="7" spans="1:7" ht="24.75" customHeight="1" x14ac:dyDescent="0.35">
      <c r="A7" s="48"/>
      <c r="B7" s="9"/>
      <c r="C7" s="8"/>
      <c r="D7" s="53"/>
      <c r="E7" s="53"/>
      <c r="F7" s="53"/>
      <c r="G7" s="8"/>
    </row>
    <row r="8" spans="1:7" ht="24.75" customHeight="1" x14ac:dyDescent="0.35">
      <c r="A8" s="48"/>
      <c r="B8" s="9"/>
      <c r="C8" s="8"/>
      <c r="D8" s="53"/>
      <c r="E8" s="53"/>
      <c r="F8" s="53"/>
      <c r="G8" s="8"/>
    </row>
    <row r="9" spans="1:7" ht="24.75" customHeight="1" x14ac:dyDescent="0.35">
      <c r="A9" s="48"/>
      <c r="B9" s="9"/>
      <c r="C9" s="8"/>
      <c r="D9" s="53"/>
      <c r="E9" s="53"/>
      <c r="F9" s="53"/>
      <c r="G9" s="8"/>
    </row>
    <row r="10" spans="1:7" ht="24.75" customHeight="1" x14ac:dyDescent="0.35">
      <c r="A10" s="8"/>
      <c r="B10" s="9"/>
      <c r="C10" s="8"/>
      <c r="D10" s="53"/>
      <c r="E10" s="53"/>
      <c r="F10" s="53"/>
      <c r="G10" s="8"/>
    </row>
    <row r="11" spans="1:7" ht="24.75" customHeight="1" x14ac:dyDescent="0.35">
      <c r="A11" s="8"/>
      <c r="B11" s="9"/>
      <c r="C11" s="8"/>
      <c r="D11" s="53"/>
      <c r="E11" s="53"/>
      <c r="F11" s="53"/>
      <c r="G11" s="8"/>
    </row>
    <row r="12" spans="1:7" ht="24.75" customHeight="1" x14ac:dyDescent="0.35">
      <c r="A12" s="8"/>
      <c r="B12" s="9"/>
      <c r="C12" s="8"/>
      <c r="D12" s="53"/>
      <c r="E12" s="53"/>
      <c r="F12" s="53"/>
      <c r="G12" s="8"/>
    </row>
    <row r="13" spans="1:7" ht="24.75" customHeight="1" x14ac:dyDescent="0.35">
      <c r="A13" s="8"/>
      <c r="B13" s="9"/>
      <c r="C13" s="8"/>
      <c r="D13" s="53"/>
      <c r="E13" s="53"/>
      <c r="F13" s="53"/>
      <c r="G13" s="8"/>
    </row>
    <row r="14" spans="1:7" ht="24.75" customHeight="1" x14ac:dyDescent="0.35">
      <c r="A14" s="8"/>
      <c r="B14" s="9"/>
      <c r="C14" s="8"/>
      <c r="D14" s="53"/>
      <c r="E14" s="53"/>
      <c r="F14" s="53"/>
      <c r="G14" s="8"/>
    </row>
    <row r="15" spans="1:7" ht="24.75" customHeight="1" x14ac:dyDescent="0.35">
      <c r="A15" s="8"/>
      <c r="B15" s="9"/>
      <c r="C15" s="8"/>
      <c r="D15" s="53"/>
      <c r="E15" s="53"/>
      <c r="F15" s="53"/>
      <c r="G15" s="8"/>
    </row>
    <row r="16" spans="1:7" ht="21" customHeight="1" x14ac:dyDescent="0.35">
      <c r="A16" s="57"/>
      <c r="B16" s="58"/>
      <c r="C16" s="57" t="s">
        <v>40</v>
      </c>
      <c r="D16" s="59">
        <f>SUM(D3:D15)</f>
        <v>0</v>
      </c>
      <c r="E16" s="59">
        <f>SUM(E3:E15)</f>
        <v>0</v>
      </c>
      <c r="F16" s="59">
        <f>D16-E16</f>
        <v>0</v>
      </c>
      <c r="G16" s="57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7EFF-5B47-4973-AA82-CE668F747B86}">
  <dimension ref="A1:G69"/>
  <sheetViews>
    <sheetView workbookViewId="0">
      <selection sqref="A1:G1"/>
    </sheetView>
  </sheetViews>
  <sheetFormatPr defaultRowHeight="21" customHeight="1" x14ac:dyDescent="0.35"/>
  <cols>
    <col min="1" max="1" width="12.5" style="50" customWidth="1"/>
    <col min="2" max="2" width="10.875" style="55" customWidth="1"/>
    <col min="3" max="3" width="41.5" style="50" customWidth="1"/>
    <col min="4" max="6" width="16.25" style="54" customWidth="1"/>
    <col min="7" max="7" width="21.75" style="50" customWidth="1"/>
    <col min="8" max="16384" width="9" style="50"/>
  </cols>
  <sheetData>
    <row r="1" spans="1:7" ht="21" customHeight="1" x14ac:dyDescent="0.35">
      <c r="A1" s="184" t="s">
        <v>134</v>
      </c>
      <c r="B1" s="184"/>
      <c r="C1" s="184"/>
      <c r="D1" s="184"/>
      <c r="E1" s="184"/>
      <c r="F1" s="184"/>
      <c r="G1" s="184"/>
    </row>
    <row r="2" spans="1:7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7" ht="25.5" customHeight="1" x14ac:dyDescent="0.35">
      <c r="A3" s="49"/>
      <c r="B3" s="9"/>
      <c r="C3" s="9"/>
      <c r="D3" s="53"/>
      <c r="E3" s="53"/>
      <c r="F3" s="53"/>
      <c r="G3" s="8"/>
    </row>
    <row r="4" spans="1:7" ht="25.5" customHeight="1" x14ac:dyDescent="0.35">
      <c r="A4" s="49"/>
      <c r="B4" s="9"/>
      <c r="C4" s="8"/>
      <c r="D4" s="53"/>
      <c r="E4" s="53"/>
      <c r="F4" s="53"/>
      <c r="G4" s="8"/>
    </row>
    <row r="5" spans="1:7" ht="25.5" customHeight="1" x14ac:dyDescent="0.35">
      <c r="A5" s="48"/>
      <c r="B5" s="9"/>
      <c r="C5" s="8"/>
      <c r="D5" s="53"/>
      <c r="E5" s="53"/>
      <c r="F5" s="53"/>
      <c r="G5" s="8"/>
    </row>
    <row r="6" spans="1:7" ht="25.5" customHeight="1" x14ac:dyDescent="0.35">
      <c r="A6" s="69"/>
      <c r="C6" s="8"/>
      <c r="D6" s="53"/>
      <c r="E6" s="53"/>
      <c r="F6" s="53"/>
      <c r="G6" s="8"/>
    </row>
    <row r="7" spans="1:7" ht="25.5" customHeight="1" x14ac:dyDescent="0.35">
      <c r="A7" s="48"/>
      <c r="B7" s="9"/>
      <c r="C7" s="8"/>
      <c r="D7" s="53"/>
      <c r="E7" s="53"/>
      <c r="F7" s="53"/>
      <c r="G7" s="8"/>
    </row>
    <row r="8" spans="1:7" ht="25.5" customHeight="1" x14ac:dyDescent="0.35">
      <c r="A8" s="48"/>
      <c r="B8" s="9"/>
      <c r="C8" s="34"/>
      <c r="D8" s="53"/>
      <c r="E8" s="53"/>
      <c r="F8" s="53"/>
      <c r="G8" s="8"/>
    </row>
    <row r="9" spans="1:7" ht="25.5" customHeight="1" x14ac:dyDescent="0.35">
      <c r="A9" s="48"/>
      <c r="B9" s="9"/>
      <c r="C9" s="34"/>
      <c r="D9" s="53"/>
      <c r="E9" s="53"/>
      <c r="F9" s="53"/>
      <c r="G9" s="8"/>
    </row>
    <row r="10" spans="1:7" ht="25.5" customHeight="1" x14ac:dyDescent="0.35">
      <c r="A10" s="48"/>
      <c r="B10" s="9"/>
      <c r="C10" s="34"/>
      <c r="D10" s="53"/>
      <c r="E10" s="53"/>
      <c r="F10" s="53"/>
      <c r="G10" s="8"/>
    </row>
    <row r="11" spans="1:7" ht="25.5" customHeight="1" x14ac:dyDescent="0.35">
      <c r="A11" s="48"/>
      <c r="B11" s="9"/>
      <c r="C11" s="34"/>
      <c r="D11" s="53"/>
      <c r="E11" s="53"/>
      <c r="F11" s="53"/>
      <c r="G11" s="8"/>
    </row>
    <row r="12" spans="1:7" ht="25.5" customHeight="1" x14ac:dyDescent="0.35">
      <c r="A12" s="8"/>
      <c r="B12" s="9"/>
      <c r="C12" s="8"/>
      <c r="D12" s="53"/>
      <c r="E12" s="53"/>
      <c r="F12" s="53"/>
      <c r="G12" s="8"/>
    </row>
    <row r="13" spans="1:7" ht="25.5" customHeight="1" x14ac:dyDescent="0.35">
      <c r="A13" s="48"/>
      <c r="B13" s="9"/>
      <c r="C13" s="8"/>
      <c r="D13" s="53"/>
      <c r="E13" s="53"/>
      <c r="F13" s="53"/>
      <c r="G13" s="8"/>
    </row>
    <row r="14" spans="1:7" ht="25.5" customHeight="1" x14ac:dyDescent="0.35">
      <c r="A14" s="48"/>
      <c r="B14" s="9"/>
      <c r="C14" s="8"/>
      <c r="D14" s="53"/>
      <c r="E14" s="53"/>
      <c r="F14" s="53"/>
      <c r="G14" s="8"/>
    </row>
    <row r="15" spans="1:7" ht="25.5" customHeight="1" x14ac:dyDescent="0.35">
      <c r="A15" s="48"/>
      <c r="B15" s="9"/>
      <c r="C15" s="8"/>
      <c r="D15" s="53"/>
      <c r="E15" s="53"/>
      <c r="F15" s="53"/>
      <c r="G15" s="8"/>
    </row>
    <row r="16" spans="1:7" ht="25.5" customHeight="1" x14ac:dyDescent="0.35">
      <c r="A16" s="48"/>
      <c r="B16" s="9"/>
      <c r="C16" s="8"/>
      <c r="D16" s="53"/>
      <c r="E16" s="53"/>
      <c r="F16" s="53"/>
      <c r="G16" s="8"/>
    </row>
    <row r="17" spans="1:7" ht="25.5" customHeight="1" x14ac:dyDescent="0.35">
      <c r="A17" s="48"/>
      <c r="B17" s="9"/>
      <c r="C17" s="8"/>
      <c r="D17" s="53"/>
      <c r="E17" s="53"/>
      <c r="F17" s="53"/>
      <c r="G17" s="8"/>
    </row>
    <row r="18" spans="1:7" ht="25.5" customHeight="1" x14ac:dyDescent="0.35">
      <c r="A18" s="48"/>
      <c r="B18" s="9"/>
      <c r="C18" s="8"/>
      <c r="D18" s="53"/>
      <c r="E18" s="53"/>
      <c r="F18" s="53"/>
      <c r="G18" s="8"/>
    </row>
    <row r="19" spans="1:7" ht="25.5" customHeight="1" x14ac:dyDescent="0.35">
      <c r="A19" s="48"/>
      <c r="B19" s="9"/>
      <c r="C19" s="8"/>
      <c r="D19" s="53"/>
      <c r="E19" s="53"/>
      <c r="F19" s="53"/>
      <c r="G19" s="8"/>
    </row>
    <row r="20" spans="1:7" ht="25.5" customHeight="1" x14ac:dyDescent="0.35">
      <c r="A20" s="48"/>
      <c r="B20" s="9"/>
      <c r="C20" s="8"/>
      <c r="D20" s="53"/>
      <c r="E20" s="53"/>
      <c r="F20" s="53"/>
      <c r="G20" s="8"/>
    </row>
    <row r="21" spans="1:7" ht="25.5" customHeight="1" x14ac:dyDescent="0.35">
      <c r="A21" s="48"/>
      <c r="B21" s="9"/>
      <c r="C21" s="9"/>
      <c r="D21" s="53"/>
      <c r="E21" s="53"/>
      <c r="F21" s="53"/>
      <c r="G21" s="8"/>
    </row>
    <row r="22" spans="1:7" ht="25.5" customHeight="1" x14ac:dyDescent="0.35">
      <c r="A22" s="8"/>
      <c r="B22" s="9"/>
      <c r="C22" s="8"/>
      <c r="D22" s="53"/>
      <c r="E22" s="53"/>
      <c r="F22" s="53"/>
      <c r="G22" s="8"/>
    </row>
    <row r="23" spans="1:7" ht="25.5" customHeight="1" x14ac:dyDescent="0.35">
      <c r="A23" s="48"/>
      <c r="B23" s="9"/>
      <c r="C23" s="8"/>
      <c r="D23" s="53"/>
      <c r="E23" s="53"/>
      <c r="F23" s="53"/>
      <c r="G23" s="8"/>
    </row>
    <row r="24" spans="1:7" ht="25.5" customHeight="1" x14ac:dyDescent="0.35">
      <c r="A24" s="48"/>
      <c r="B24" s="9"/>
      <c r="C24" s="8"/>
      <c r="D24" s="53"/>
      <c r="E24" s="53"/>
      <c r="F24" s="53"/>
      <c r="G24" s="8"/>
    </row>
    <row r="25" spans="1:7" ht="25.5" customHeight="1" x14ac:dyDescent="0.35">
      <c r="A25" s="8"/>
      <c r="B25" s="9"/>
      <c r="C25" s="8"/>
      <c r="D25" s="53"/>
      <c r="E25" s="53"/>
      <c r="F25" s="53"/>
      <c r="G25" s="8"/>
    </row>
    <row r="26" spans="1:7" ht="25.5" customHeight="1" x14ac:dyDescent="0.35">
      <c r="A26" s="48"/>
      <c r="B26" s="9"/>
      <c r="C26" s="8"/>
      <c r="D26" s="53"/>
      <c r="E26" s="53"/>
      <c r="F26" s="53"/>
      <c r="G26" s="8"/>
    </row>
    <row r="27" spans="1:7" ht="25.5" customHeight="1" x14ac:dyDescent="0.35">
      <c r="A27" s="48"/>
      <c r="B27" s="9"/>
      <c r="C27" s="8"/>
      <c r="D27" s="53"/>
      <c r="E27" s="53"/>
      <c r="F27" s="53"/>
      <c r="G27" s="8"/>
    </row>
    <row r="28" spans="1:7" ht="25.5" customHeight="1" x14ac:dyDescent="0.35">
      <c r="A28" s="48"/>
      <c r="B28" s="9"/>
      <c r="C28" s="8"/>
      <c r="D28" s="53"/>
      <c r="E28" s="53"/>
      <c r="F28" s="53"/>
      <c r="G28" s="8"/>
    </row>
    <row r="29" spans="1:7" ht="25.5" customHeight="1" x14ac:dyDescent="0.35">
      <c r="A29" s="48"/>
      <c r="B29" s="9"/>
      <c r="C29" s="8"/>
      <c r="D29" s="53"/>
      <c r="E29" s="53"/>
      <c r="F29" s="53"/>
      <c r="G29" s="8"/>
    </row>
    <row r="30" spans="1:7" ht="25.5" customHeight="1" x14ac:dyDescent="0.35">
      <c r="A30" s="48"/>
      <c r="B30" s="9"/>
      <c r="C30" s="8"/>
      <c r="D30" s="53"/>
      <c r="E30" s="53"/>
      <c r="F30" s="53"/>
      <c r="G30" s="8"/>
    </row>
    <row r="31" spans="1:7" ht="25.5" customHeight="1" x14ac:dyDescent="0.35">
      <c r="A31" s="48"/>
      <c r="B31" s="9"/>
      <c r="C31" s="8"/>
      <c r="D31" s="53"/>
      <c r="E31" s="53"/>
      <c r="F31" s="53"/>
      <c r="G31" s="8"/>
    </row>
    <row r="32" spans="1:7" ht="25.5" customHeight="1" x14ac:dyDescent="0.35">
      <c r="A32" s="48"/>
      <c r="B32" s="9"/>
      <c r="C32" s="8"/>
      <c r="D32" s="53"/>
      <c r="E32" s="53"/>
      <c r="F32" s="53"/>
      <c r="G32" s="8"/>
    </row>
    <row r="33" spans="1:7" ht="25.5" customHeight="1" x14ac:dyDescent="0.35">
      <c r="A33" s="8"/>
      <c r="B33" s="9"/>
      <c r="C33" s="8"/>
      <c r="D33" s="53"/>
      <c r="E33" s="53"/>
      <c r="F33" s="53"/>
      <c r="G33" s="8"/>
    </row>
    <row r="34" spans="1:7" ht="25.5" customHeight="1" x14ac:dyDescent="0.35">
      <c r="A34" s="8"/>
      <c r="B34" s="9"/>
      <c r="C34" s="9"/>
      <c r="D34" s="53"/>
      <c r="E34" s="53"/>
      <c r="F34" s="53"/>
      <c r="G34" s="8"/>
    </row>
    <row r="35" spans="1:7" ht="25.5" customHeight="1" x14ac:dyDescent="0.35">
      <c r="A35" s="48"/>
      <c r="B35" s="9"/>
      <c r="C35" s="8"/>
      <c r="D35" s="53"/>
      <c r="E35" s="53"/>
      <c r="F35" s="53"/>
      <c r="G35" s="8"/>
    </row>
    <row r="36" spans="1:7" ht="25.5" customHeight="1" x14ac:dyDescent="0.35">
      <c r="A36" s="8"/>
      <c r="B36" s="9"/>
      <c r="C36" s="8"/>
      <c r="D36" s="53"/>
      <c r="E36" s="53"/>
      <c r="F36" s="53"/>
      <c r="G36" s="8"/>
    </row>
    <row r="37" spans="1:7" ht="25.5" customHeight="1" x14ac:dyDescent="0.35">
      <c r="A37" s="8"/>
      <c r="B37" s="9"/>
      <c r="C37" s="8"/>
      <c r="D37" s="53"/>
      <c r="E37" s="53"/>
      <c r="F37" s="53"/>
      <c r="G37" s="8"/>
    </row>
    <row r="38" spans="1:7" ht="25.5" customHeight="1" x14ac:dyDescent="0.35">
      <c r="A38" s="8"/>
      <c r="B38" s="9"/>
      <c r="C38" s="8"/>
      <c r="D38" s="53"/>
      <c r="E38" s="53"/>
      <c r="F38" s="53"/>
      <c r="G38" s="8"/>
    </row>
    <row r="39" spans="1:7" ht="25.5" customHeight="1" x14ac:dyDescent="0.35">
      <c r="A39" s="8"/>
      <c r="B39" s="9"/>
      <c r="C39" s="8"/>
      <c r="D39" s="53"/>
      <c r="E39" s="53"/>
      <c r="F39" s="53"/>
      <c r="G39" s="8"/>
    </row>
    <row r="40" spans="1:7" ht="25.5" customHeight="1" x14ac:dyDescent="0.35">
      <c r="A40" s="8"/>
      <c r="B40" s="9"/>
      <c r="C40" s="8"/>
      <c r="D40" s="53"/>
      <c r="E40" s="53"/>
      <c r="F40" s="53"/>
      <c r="G40" s="8"/>
    </row>
    <row r="41" spans="1:7" ht="25.5" customHeight="1" x14ac:dyDescent="0.35">
      <c r="A41" s="8"/>
      <c r="B41" s="9"/>
      <c r="C41" s="8"/>
      <c r="D41" s="53"/>
      <c r="E41" s="53"/>
      <c r="F41" s="53"/>
      <c r="G41" s="8"/>
    </row>
    <row r="42" spans="1:7" ht="25.5" customHeight="1" x14ac:dyDescent="0.35">
      <c r="A42" s="8"/>
      <c r="B42" s="9"/>
      <c r="C42" s="8"/>
      <c r="D42" s="53"/>
      <c r="E42" s="53"/>
      <c r="F42" s="53"/>
      <c r="G42" s="8"/>
    </row>
    <row r="43" spans="1:7" ht="25.5" customHeight="1" x14ac:dyDescent="0.35">
      <c r="A43" s="8"/>
      <c r="B43" s="9"/>
      <c r="C43" s="8"/>
      <c r="D43" s="53"/>
      <c r="E43" s="53"/>
      <c r="F43" s="53"/>
      <c r="G43" s="8"/>
    </row>
    <row r="44" spans="1:7" ht="25.5" customHeight="1" x14ac:dyDescent="0.35">
      <c r="A44" s="8"/>
      <c r="B44" s="9"/>
      <c r="C44" s="56"/>
      <c r="D44" s="53"/>
      <c r="E44" s="53"/>
      <c r="F44" s="53"/>
      <c r="G44" s="8"/>
    </row>
    <row r="45" spans="1:7" ht="25.5" customHeight="1" x14ac:dyDescent="0.35">
      <c r="A45" s="48"/>
      <c r="B45" s="9"/>
      <c r="C45" s="8"/>
      <c r="D45" s="53"/>
      <c r="E45" s="53"/>
      <c r="F45" s="53"/>
      <c r="G45" s="8"/>
    </row>
    <row r="46" spans="1:7" ht="25.5" customHeight="1" x14ac:dyDescent="0.35">
      <c r="A46" s="48"/>
      <c r="B46" s="9"/>
      <c r="C46" s="8"/>
      <c r="D46" s="53"/>
      <c r="E46" s="53"/>
      <c r="F46" s="53"/>
      <c r="G46" s="8"/>
    </row>
    <row r="47" spans="1:7" ht="25.5" customHeight="1" x14ac:dyDescent="0.35">
      <c r="A47" s="48"/>
      <c r="B47" s="9"/>
      <c r="C47" s="8"/>
      <c r="D47" s="53"/>
      <c r="E47" s="53"/>
      <c r="F47" s="53"/>
      <c r="G47" s="8"/>
    </row>
    <row r="48" spans="1:7" ht="25.5" customHeight="1" x14ac:dyDescent="0.35">
      <c r="A48" s="48"/>
      <c r="B48" s="9"/>
      <c r="C48" s="8"/>
      <c r="D48" s="53"/>
      <c r="E48" s="53"/>
      <c r="F48" s="53"/>
      <c r="G48" s="8"/>
    </row>
    <row r="49" spans="1:7" ht="25.5" customHeight="1" x14ac:dyDescent="0.35">
      <c r="A49" s="48"/>
      <c r="B49" s="9"/>
      <c r="C49" s="56"/>
      <c r="D49" s="53"/>
      <c r="E49" s="53"/>
      <c r="F49" s="53"/>
      <c r="G49" s="8"/>
    </row>
    <row r="50" spans="1:7" ht="25.5" customHeight="1" x14ac:dyDescent="0.35">
      <c r="A50" s="48"/>
      <c r="B50" s="9"/>
      <c r="C50" s="56"/>
      <c r="D50" s="53"/>
      <c r="E50" s="53"/>
      <c r="F50" s="53"/>
      <c r="G50" s="8"/>
    </row>
    <row r="51" spans="1:7" ht="25.5" customHeight="1" x14ac:dyDescent="0.35">
      <c r="A51" s="48"/>
      <c r="B51" s="9"/>
      <c r="C51" s="56"/>
      <c r="D51" s="53"/>
      <c r="E51" s="53"/>
      <c r="F51" s="53"/>
      <c r="G51" s="8"/>
    </row>
    <row r="52" spans="1:7" ht="25.5" customHeight="1" x14ac:dyDescent="0.35">
      <c r="A52" s="48"/>
      <c r="B52" s="9"/>
      <c r="C52" s="8"/>
      <c r="D52" s="53"/>
      <c r="E52" s="53"/>
      <c r="F52" s="53"/>
      <c r="G52" s="8"/>
    </row>
    <row r="53" spans="1:7" ht="25.5" customHeight="1" x14ac:dyDescent="0.35">
      <c r="A53" s="48"/>
      <c r="B53" s="9"/>
      <c r="C53" s="8"/>
      <c r="D53" s="53"/>
      <c r="E53" s="53"/>
      <c r="F53" s="53"/>
      <c r="G53" s="8"/>
    </row>
    <row r="54" spans="1:7" ht="25.5" customHeight="1" x14ac:dyDescent="0.35">
      <c r="A54" s="48"/>
      <c r="B54" s="9"/>
      <c r="C54" s="8"/>
      <c r="D54" s="53"/>
      <c r="E54" s="53"/>
      <c r="F54" s="53"/>
      <c r="G54" s="8"/>
    </row>
    <row r="55" spans="1:7" ht="25.5" customHeight="1" x14ac:dyDescent="0.35">
      <c r="A55" s="48"/>
      <c r="B55" s="9"/>
      <c r="C55" s="8"/>
      <c r="D55" s="53"/>
      <c r="E55" s="53"/>
      <c r="F55" s="53"/>
      <c r="G55" s="8"/>
    </row>
    <row r="56" spans="1:7" ht="25.5" customHeight="1" x14ac:dyDescent="0.35">
      <c r="A56" s="8"/>
      <c r="B56" s="9"/>
      <c r="C56" s="56"/>
      <c r="D56" s="53"/>
      <c r="E56" s="53"/>
      <c r="F56" s="53"/>
      <c r="G56" s="8"/>
    </row>
    <row r="57" spans="1:7" ht="25.5" customHeight="1" x14ac:dyDescent="0.35">
      <c r="A57" s="8"/>
      <c r="B57" s="9"/>
      <c r="C57" s="42"/>
      <c r="D57" s="53"/>
      <c r="E57" s="53"/>
      <c r="F57" s="53"/>
      <c r="G57" s="8"/>
    </row>
    <row r="58" spans="1:7" ht="25.5" customHeight="1" x14ac:dyDescent="0.35">
      <c r="A58" s="8"/>
      <c r="B58" s="9"/>
      <c r="C58" s="8"/>
      <c r="D58" s="53"/>
      <c r="E58" s="53"/>
      <c r="F58" s="53"/>
      <c r="G58" s="8"/>
    </row>
    <row r="59" spans="1:7" ht="25.5" customHeight="1" x14ac:dyDescent="0.35">
      <c r="A59" s="48"/>
      <c r="B59" s="9"/>
      <c r="C59" s="8"/>
      <c r="D59" s="53"/>
      <c r="E59" s="53"/>
      <c r="F59" s="53"/>
      <c r="G59" s="8"/>
    </row>
    <row r="60" spans="1:7" ht="25.5" customHeight="1" x14ac:dyDescent="0.35">
      <c r="A60" s="48"/>
      <c r="B60" s="9"/>
      <c r="C60" s="8"/>
      <c r="D60" s="53"/>
      <c r="E60" s="53"/>
      <c r="F60" s="53"/>
      <c r="G60" s="8"/>
    </row>
    <row r="61" spans="1:7" ht="25.5" customHeight="1" x14ac:dyDescent="0.35">
      <c r="A61" s="8"/>
      <c r="B61" s="9"/>
      <c r="C61" s="9"/>
      <c r="D61" s="53"/>
      <c r="E61" s="53"/>
      <c r="F61" s="53"/>
      <c r="G61" s="8"/>
    </row>
    <row r="62" spans="1:7" ht="25.5" customHeight="1" x14ac:dyDescent="0.35">
      <c r="A62" s="8"/>
      <c r="B62" s="9"/>
      <c r="C62" s="8"/>
      <c r="D62" s="53"/>
      <c r="E62" s="53"/>
      <c r="F62" s="53"/>
      <c r="G62" s="8"/>
    </row>
    <row r="63" spans="1:7" ht="25.5" customHeight="1" x14ac:dyDescent="0.35">
      <c r="A63" s="8"/>
      <c r="B63" s="9"/>
      <c r="C63" s="8"/>
      <c r="D63" s="53"/>
      <c r="E63" s="53"/>
      <c r="F63" s="53"/>
      <c r="G63" s="8"/>
    </row>
    <row r="64" spans="1:7" ht="25.5" customHeight="1" x14ac:dyDescent="0.35">
      <c r="A64" s="8"/>
      <c r="B64" s="9"/>
      <c r="C64" s="8"/>
      <c r="D64" s="53"/>
      <c r="E64" s="53"/>
      <c r="F64" s="53"/>
      <c r="G64" s="8"/>
    </row>
    <row r="65" spans="1:7" ht="25.5" customHeight="1" x14ac:dyDescent="0.35">
      <c r="A65" s="8"/>
      <c r="B65" s="9"/>
      <c r="C65" s="8"/>
      <c r="D65" s="53"/>
      <c r="E65" s="53"/>
      <c r="F65" s="53"/>
      <c r="G65" s="8"/>
    </row>
    <row r="66" spans="1:7" ht="25.5" customHeight="1" x14ac:dyDescent="0.35">
      <c r="A66" s="8"/>
      <c r="B66" s="9"/>
      <c r="C66" s="8"/>
      <c r="D66" s="53"/>
      <c r="E66" s="53"/>
      <c r="F66" s="53"/>
      <c r="G66" s="8"/>
    </row>
    <row r="67" spans="1:7" ht="25.5" customHeight="1" x14ac:dyDescent="0.35">
      <c r="A67" s="8"/>
      <c r="B67" s="9"/>
      <c r="C67" s="8"/>
      <c r="D67" s="53"/>
      <c r="E67" s="53"/>
      <c r="F67" s="53"/>
      <c r="G67" s="8"/>
    </row>
    <row r="68" spans="1:7" ht="25.5" customHeight="1" x14ac:dyDescent="0.35">
      <c r="A68" s="8"/>
      <c r="B68" s="9"/>
      <c r="C68" s="8"/>
      <c r="D68" s="53"/>
      <c r="E68" s="53"/>
      <c r="F68" s="53"/>
      <c r="G68" s="8"/>
    </row>
    <row r="69" spans="1:7" ht="21" customHeight="1" x14ac:dyDescent="0.35">
      <c r="A69" s="57"/>
      <c r="B69" s="58"/>
      <c r="C69" s="57" t="s">
        <v>40</v>
      </c>
      <c r="D69" s="59">
        <f>SUM(D3:D68)</f>
        <v>0</v>
      </c>
      <c r="E69" s="59">
        <f>SUM(E3:E68)</f>
        <v>0</v>
      </c>
      <c r="F69" s="59"/>
      <c r="G69" s="57"/>
    </row>
  </sheetData>
  <mergeCells count="1">
    <mergeCell ref="A1:G1"/>
  </mergeCells>
  <phoneticPr fontId="15" type="noConversion"/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AAA2C-7E88-473E-966C-95BF5BB7E820}">
  <dimension ref="A1:I30"/>
  <sheetViews>
    <sheetView workbookViewId="0">
      <selection sqref="A1:I1"/>
    </sheetView>
  </sheetViews>
  <sheetFormatPr defaultRowHeight="21" customHeight="1" x14ac:dyDescent="0.35"/>
  <cols>
    <col min="1" max="1" width="12.5" style="50" customWidth="1"/>
    <col min="2" max="2" width="10.875" style="55" customWidth="1"/>
    <col min="3" max="3" width="41.5" style="50" customWidth="1"/>
    <col min="4" max="8" width="15.875" style="54" customWidth="1"/>
    <col min="9" max="9" width="15.875" style="50" customWidth="1"/>
    <col min="10" max="16384" width="9" style="50"/>
  </cols>
  <sheetData>
    <row r="1" spans="1:9" ht="21" customHeight="1" x14ac:dyDescent="0.35">
      <c r="A1" s="184" t="s">
        <v>135</v>
      </c>
      <c r="B1" s="184"/>
      <c r="C1" s="184"/>
      <c r="D1" s="184"/>
      <c r="E1" s="184"/>
      <c r="F1" s="184"/>
      <c r="G1" s="184"/>
      <c r="H1" s="184"/>
      <c r="I1" s="184"/>
    </row>
    <row r="2" spans="1:9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41</v>
      </c>
      <c r="F2" s="52" t="s">
        <v>42</v>
      </c>
      <c r="G2" s="52" t="s">
        <v>34</v>
      </c>
      <c r="H2" s="52" t="s">
        <v>39</v>
      </c>
      <c r="I2" s="51" t="s">
        <v>5</v>
      </c>
    </row>
    <row r="3" spans="1:9" ht="25.5" customHeight="1" x14ac:dyDescent="0.35">
      <c r="A3" s="49"/>
      <c r="B3" s="9"/>
      <c r="C3" s="9"/>
      <c r="D3" s="53"/>
      <c r="E3" s="53"/>
      <c r="F3" s="53"/>
      <c r="G3" s="53"/>
      <c r="H3" s="53"/>
      <c r="I3" s="8"/>
    </row>
    <row r="4" spans="1:9" ht="25.5" customHeight="1" x14ac:dyDescent="0.35">
      <c r="A4" s="49"/>
      <c r="B4" s="9"/>
      <c r="C4" s="56"/>
      <c r="D4" s="53"/>
      <c r="E4" s="53"/>
      <c r="F4" s="53"/>
      <c r="G4" s="53"/>
      <c r="H4" s="53"/>
      <c r="I4" s="8"/>
    </row>
    <row r="5" spans="1:9" ht="25.5" customHeight="1" x14ac:dyDescent="0.35">
      <c r="A5" s="48"/>
      <c r="B5" s="9"/>
      <c r="C5" s="8"/>
      <c r="D5" s="53"/>
      <c r="E5" s="53"/>
      <c r="F5" s="53"/>
      <c r="G5" s="53"/>
      <c r="H5" s="53"/>
      <c r="I5" s="8"/>
    </row>
    <row r="6" spans="1:9" ht="25.5" customHeight="1" x14ac:dyDescent="0.35">
      <c r="A6" s="48"/>
      <c r="B6" s="9"/>
      <c r="C6" s="8"/>
      <c r="D6" s="53"/>
      <c r="E6" s="53"/>
      <c r="F6" s="53"/>
      <c r="G6" s="53"/>
      <c r="H6" s="53"/>
      <c r="I6" s="8"/>
    </row>
    <row r="7" spans="1:9" ht="25.5" customHeight="1" x14ac:dyDescent="0.35">
      <c r="A7" s="48"/>
      <c r="B7" s="9"/>
      <c r="C7" s="8"/>
      <c r="D7" s="53"/>
      <c r="E7" s="53"/>
      <c r="F7" s="53"/>
      <c r="G7" s="53"/>
      <c r="H7" s="53"/>
      <c r="I7" s="8"/>
    </row>
    <row r="8" spans="1:9" ht="25.5" customHeight="1" x14ac:dyDescent="0.35">
      <c r="A8" s="48"/>
      <c r="B8" s="9"/>
      <c r="C8" s="34"/>
      <c r="D8" s="53"/>
      <c r="E8" s="67"/>
      <c r="F8" s="53"/>
      <c r="G8" s="53"/>
      <c r="H8" s="53"/>
      <c r="I8" s="8"/>
    </row>
    <row r="9" spans="1:9" ht="25.5" customHeight="1" x14ac:dyDescent="0.35">
      <c r="A9" s="48"/>
      <c r="B9" s="9"/>
      <c r="C9" s="8"/>
      <c r="D9" s="53"/>
      <c r="E9" s="67"/>
      <c r="F9" s="53"/>
      <c r="G9" s="53"/>
      <c r="H9" s="53"/>
      <c r="I9" s="8"/>
    </row>
    <row r="10" spans="1:9" ht="25.5" customHeight="1" x14ac:dyDescent="0.35">
      <c r="A10" s="48"/>
      <c r="B10" s="9"/>
      <c r="C10" s="8"/>
      <c r="D10" s="53"/>
      <c r="E10" s="53"/>
      <c r="F10" s="53"/>
      <c r="G10" s="53"/>
      <c r="H10" s="53"/>
      <c r="I10" s="8"/>
    </row>
    <row r="11" spans="1:9" ht="25.5" customHeight="1" x14ac:dyDescent="0.35">
      <c r="A11" s="48"/>
      <c r="B11" s="9"/>
      <c r="C11" s="8"/>
      <c r="D11" s="53"/>
      <c r="E11" s="67"/>
      <c r="F11" s="53"/>
      <c r="G11" s="53"/>
      <c r="H11" s="95"/>
      <c r="I11" s="8"/>
    </row>
    <row r="12" spans="1:9" ht="25.5" customHeight="1" x14ac:dyDescent="0.35">
      <c r="A12" s="48"/>
      <c r="B12" s="9"/>
      <c r="C12" s="8"/>
      <c r="D12" s="53"/>
      <c r="E12" s="67"/>
      <c r="F12" s="53"/>
      <c r="G12" s="53"/>
      <c r="H12" s="95"/>
      <c r="I12" s="8"/>
    </row>
    <row r="13" spans="1:9" ht="25.5" customHeight="1" x14ac:dyDescent="0.35">
      <c r="A13" s="48"/>
      <c r="B13" s="9"/>
      <c r="C13" s="8"/>
      <c r="D13" s="53"/>
      <c r="E13" s="53"/>
      <c r="F13" s="53"/>
      <c r="G13" s="53"/>
      <c r="H13" s="53"/>
      <c r="I13" s="8"/>
    </row>
    <row r="14" spans="1:9" ht="25.5" customHeight="1" x14ac:dyDescent="0.35">
      <c r="A14" s="48"/>
      <c r="B14" s="9"/>
      <c r="C14" s="8"/>
      <c r="D14" s="53"/>
      <c r="E14" s="53"/>
      <c r="F14" s="53"/>
      <c r="G14" s="53"/>
      <c r="H14" s="53"/>
      <c r="I14" s="8"/>
    </row>
    <row r="15" spans="1:9" ht="25.5" customHeight="1" x14ac:dyDescent="0.35">
      <c r="A15" s="48"/>
      <c r="B15" s="9"/>
      <c r="C15" s="42"/>
      <c r="D15" s="53"/>
      <c r="E15" s="53"/>
      <c r="F15" s="53"/>
      <c r="G15" s="53"/>
      <c r="H15" s="53"/>
      <c r="I15" s="8"/>
    </row>
    <row r="16" spans="1:9" ht="25.5" customHeight="1" x14ac:dyDescent="0.35">
      <c r="A16" s="48"/>
      <c r="B16" s="9"/>
      <c r="C16" s="8"/>
      <c r="D16" s="53"/>
      <c r="E16" s="53"/>
      <c r="F16" s="53"/>
      <c r="G16" s="53"/>
      <c r="H16" s="53"/>
      <c r="I16" s="8"/>
    </row>
    <row r="17" spans="1:9" ht="25.5" customHeight="1" x14ac:dyDescent="0.35">
      <c r="A17" s="48"/>
      <c r="B17" s="9"/>
      <c r="C17" s="8"/>
      <c r="D17" s="53"/>
      <c r="E17" s="53"/>
      <c r="F17" s="53"/>
      <c r="G17" s="53"/>
      <c r="H17" s="53"/>
      <c r="I17" s="8"/>
    </row>
    <row r="18" spans="1:9" ht="25.5" customHeight="1" x14ac:dyDescent="0.35">
      <c r="A18" s="48"/>
      <c r="B18" s="9"/>
      <c r="C18" s="8"/>
      <c r="D18" s="53"/>
      <c r="E18" s="53"/>
      <c r="F18" s="53"/>
      <c r="G18" s="53"/>
      <c r="H18" s="53"/>
      <c r="I18" s="8"/>
    </row>
    <row r="19" spans="1:9" ht="25.5" customHeight="1" x14ac:dyDescent="0.35">
      <c r="A19" s="48"/>
      <c r="B19" s="9"/>
      <c r="C19" s="8"/>
      <c r="D19" s="53"/>
      <c r="E19" s="53"/>
      <c r="F19" s="53"/>
      <c r="G19" s="53"/>
      <c r="H19" s="53"/>
      <c r="I19" s="8"/>
    </row>
    <row r="20" spans="1:9" ht="25.5" customHeight="1" x14ac:dyDescent="0.35">
      <c r="A20" s="48"/>
      <c r="B20" s="9"/>
      <c r="C20" s="8"/>
      <c r="D20" s="53"/>
      <c r="E20" s="53"/>
      <c r="F20" s="53"/>
      <c r="G20" s="53"/>
      <c r="H20" s="53"/>
      <c r="I20" s="8"/>
    </row>
    <row r="21" spans="1:9" ht="25.5" customHeight="1" x14ac:dyDescent="0.35">
      <c r="A21" s="48"/>
      <c r="B21" s="9"/>
      <c r="C21" s="8"/>
      <c r="D21" s="53"/>
      <c r="E21" s="53"/>
      <c r="F21" s="53"/>
      <c r="G21" s="53"/>
      <c r="H21" s="53"/>
      <c r="I21" s="8"/>
    </row>
    <row r="22" spans="1:9" ht="25.5" customHeight="1" x14ac:dyDescent="0.35">
      <c r="A22" s="48"/>
      <c r="B22" s="9"/>
      <c r="C22" s="42"/>
      <c r="D22" s="53"/>
      <c r="E22" s="53"/>
      <c r="F22" s="53"/>
      <c r="G22" s="53"/>
      <c r="H22" s="53"/>
      <c r="I22" s="8"/>
    </row>
    <row r="23" spans="1:9" ht="25.5" customHeight="1" x14ac:dyDescent="0.35">
      <c r="A23" s="48"/>
      <c r="B23" s="9"/>
      <c r="C23" s="8"/>
      <c r="D23" s="53"/>
      <c r="E23" s="53"/>
      <c r="F23" s="53"/>
      <c r="G23" s="53"/>
      <c r="H23" s="53"/>
      <c r="I23" s="8"/>
    </row>
    <row r="24" spans="1:9" ht="25.5" customHeight="1" x14ac:dyDescent="0.35">
      <c r="A24" s="48"/>
      <c r="B24" s="9"/>
      <c r="C24" s="8"/>
      <c r="D24" s="53"/>
      <c r="E24" s="53"/>
      <c r="F24" s="53"/>
      <c r="G24" s="53"/>
      <c r="H24" s="53"/>
      <c r="I24" s="8"/>
    </row>
    <row r="25" spans="1:9" ht="25.5" customHeight="1" x14ac:dyDescent="0.35">
      <c r="A25" s="69"/>
      <c r="B25" s="9"/>
      <c r="C25" s="8"/>
      <c r="D25" s="53"/>
      <c r="E25" s="53"/>
      <c r="F25" s="53"/>
      <c r="G25" s="53"/>
      <c r="H25" s="53"/>
      <c r="I25" s="8"/>
    </row>
    <row r="26" spans="1:9" ht="25.5" customHeight="1" x14ac:dyDescent="0.35">
      <c r="A26" s="69"/>
      <c r="B26" s="9"/>
      <c r="C26" s="8"/>
      <c r="D26" s="53"/>
      <c r="E26" s="53"/>
      <c r="F26" s="53"/>
      <c r="G26" s="53"/>
      <c r="H26" s="53"/>
      <c r="I26" s="8"/>
    </row>
    <row r="27" spans="1:9" ht="25.5" customHeight="1" x14ac:dyDescent="0.35">
      <c r="A27" s="48"/>
      <c r="B27" s="9"/>
      <c r="C27" s="8"/>
      <c r="D27" s="53"/>
      <c r="E27" s="53"/>
      <c r="F27" s="53"/>
      <c r="G27" s="53"/>
      <c r="H27" s="53"/>
      <c r="I27" s="8"/>
    </row>
    <row r="28" spans="1:9" ht="25.5" customHeight="1" x14ac:dyDescent="0.35">
      <c r="A28" s="48"/>
      <c r="B28" s="9"/>
      <c r="C28" s="8"/>
      <c r="D28" s="53"/>
      <c r="E28" s="53"/>
      <c r="F28" s="53"/>
      <c r="G28" s="53"/>
      <c r="H28" s="53"/>
      <c r="I28" s="8"/>
    </row>
    <row r="29" spans="1:9" ht="25.5" customHeight="1" x14ac:dyDescent="0.35">
      <c r="A29" s="48"/>
      <c r="B29" s="9"/>
      <c r="C29" s="8"/>
      <c r="D29" s="53"/>
      <c r="E29" s="53"/>
      <c r="F29" s="53"/>
      <c r="G29" s="53"/>
      <c r="H29" s="53"/>
      <c r="I29" s="8"/>
    </row>
    <row r="30" spans="1:9" ht="21" customHeight="1" x14ac:dyDescent="0.35">
      <c r="A30" s="57"/>
      <c r="B30" s="58"/>
      <c r="C30" s="57" t="s">
        <v>40</v>
      </c>
      <c r="D30" s="59">
        <f>SUM(D3:D29)</f>
        <v>0</v>
      </c>
      <c r="E30" s="59"/>
      <c r="F30" s="59">
        <f>SUM(F4:F29)</f>
        <v>0</v>
      </c>
      <c r="G30" s="59"/>
      <c r="H30" s="59"/>
      <c r="I30" s="57"/>
    </row>
  </sheetData>
  <mergeCells count="1">
    <mergeCell ref="A1:I1"/>
  </mergeCells>
  <pageMargins left="0.7" right="0.7" top="0.75" bottom="0.75" header="0.3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AD8A-8481-4BEA-922D-5B611C79DFE5}">
  <dimension ref="A1:I98"/>
  <sheetViews>
    <sheetView workbookViewId="0">
      <selection activeCell="G18" sqref="G18"/>
    </sheetView>
  </sheetViews>
  <sheetFormatPr defaultRowHeight="21" customHeight="1" x14ac:dyDescent="0.35"/>
  <cols>
    <col min="1" max="1" width="12.5" style="50" customWidth="1"/>
    <col min="2" max="2" width="10.875" style="55" customWidth="1"/>
    <col min="3" max="3" width="41.5" style="50" customWidth="1"/>
    <col min="4" max="8" width="15.875" style="54" customWidth="1"/>
    <col min="9" max="9" width="15.875" style="50" customWidth="1"/>
    <col min="10" max="16384" width="9" style="50"/>
  </cols>
  <sheetData>
    <row r="1" spans="1:9" ht="21" customHeight="1" x14ac:dyDescent="0.35">
      <c r="A1" s="184" t="s">
        <v>49</v>
      </c>
      <c r="B1" s="184"/>
      <c r="C1" s="184"/>
      <c r="D1" s="184"/>
      <c r="E1" s="184"/>
      <c r="F1" s="184"/>
      <c r="G1" s="184"/>
      <c r="H1" s="184"/>
      <c r="I1" s="184"/>
    </row>
    <row r="2" spans="1:9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41</v>
      </c>
      <c r="F2" s="52" t="s">
        <v>42</v>
      </c>
      <c r="G2" s="52" t="s">
        <v>34</v>
      </c>
      <c r="H2" s="52" t="s">
        <v>39</v>
      </c>
      <c r="I2" s="51" t="s">
        <v>5</v>
      </c>
    </row>
    <row r="3" spans="1:9" ht="26.25" customHeight="1" x14ac:dyDescent="0.35">
      <c r="A3" s="83"/>
      <c r="B3" s="9"/>
      <c r="C3" s="9"/>
      <c r="D3" s="53"/>
      <c r="E3" s="53"/>
      <c r="F3" s="53"/>
      <c r="G3" s="53"/>
      <c r="H3" s="53"/>
      <c r="I3" s="8"/>
    </row>
    <row r="4" spans="1:9" ht="26.25" customHeight="1" x14ac:dyDescent="0.35">
      <c r="A4" s="69"/>
      <c r="B4" s="9"/>
      <c r="C4" s="42"/>
      <c r="D4" s="53"/>
      <c r="E4" s="53"/>
      <c r="F4" s="53"/>
      <c r="G4" s="53"/>
      <c r="H4" s="53"/>
      <c r="I4" s="8"/>
    </row>
    <row r="5" spans="1:9" ht="26.25" customHeight="1" x14ac:dyDescent="0.35">
      <c r="A5" s="69"/>
      <c r="B5" s="9"/>
      <c r="C5" s="8"/>
      <c r="D5" s="53"/>
      <c r="E5" s="53"/>
      <c r="F5" s="53"/>
      <c r="G5" s="53"/>
      <c r="H5" s="53"/>
      <c r="I5" s="8"/>
    </row>
    <row r="6" spans="1:9" ht="26.25" customHeight="1" x14ac:dyDescent="0.35">
      <c r="A6" s="69"/>
      <c r="B6" s="9"/>
      <c r="C6" s="56"/>
      <c r="D6" s="53"/>
      <c r="E6" s="53"/>
      <c r="F6" s="53"/>
      <c r="G6" s="53"/>
      <c r="H6" s="53"/>
      <c r="I6" s="8"/>
    </row>
    <row r="7" spans="1:9" ht="26.25" customHeight="1" x14ac:dyDescent="0.35">
      <c r="A7" s="69"/>
      <c r="B7" s="9"/>
      <c r="C7" s="8"/>
      <c r="D7" s="53"/>
      <c r="E7" s="53"/>
      <c r="F7" s="53"/>
      <c r="G7" s="53"/>
      <c r="H7" s="53"/>
      <c r="I7" s="8"/>
    </row>
    <row r="8" spans="1:9" ht="26.25" customHeight="1" x14ac:dyDescent="0.35">
      <c r="A8" s="69"/>
      <c r="B8" s="9"/>
      <c r="C8" s="8"/>
      <c r="D8" s="53"/>
      <c r="E8" s="53"/>
      <c r="F8" s="53"/>
      <c r="G8" s="53"/>
      <c r="H8" s="53"/>
      <c r="I8" s="8"/>
    </row>
    <row r="9" spans="1:9" ht="26.25" customHeight="1" x14ac:dyDescent="0.35">
      <c r="A9" s="69"/>
      <c r="B9" s="9"/>
      <c r="C9" s="8"/>
      <c r="D9" s="53"/>
      <c r="E9" s="53"/>
      <c r="F9" s="53"/>
      <c r="G9" s="53"/>
      <c r="H9" s="53"/>
      <c r="I9" s="8"/>
    </row>
    <row r="10" spans="1:9" ht="26.25" customHeight="1" x14ac:dyDescent="0.35">
      <c r="A10" s="69"/>
      <c r="B10" s="9"/>
      <c r="C10" s="8"/>
      <c r="D10" s="53"/>
      <c r="E10" s="53"/>
      <c r="F10" s="53"/>
      <c r="G10" s="53"/>
      <c r="H10" s="53"/>
      <c r="I10" s="8"/>
    </row>
    <row r="11" spans="1:9" ht="26.25" customHeight="1" x14ac:dyDescent="0.35">
      <c r="A11" s="69"/>
      <c r="B11" s="9"/>
      <c r="C11" s="8"/>
      <c r="D11" s="53"/>
      <c r="E11" s="67"/>
      <c r="F11" s="53"/>
      <c r="G11" s="53"/>
      <c r="H11" s="53"/>
      <c r="I11" s="8"/>
    </row>
    <row r="12" spans="1:9" ht="26.25" customHeight="1" x14ac:dyDescent="0.35">
      <c r="A12" s="69"/>
      <c r="B12" s="9"/>
      <c r="C12" s="8"/>
      <c r="D12" s="53"/>
      <c r="E12" s="67"/>
      <c r="F12" s="53"/>
      <c r="G12" s="53"/>
      <c r="H12" s="53"/>
      <c r="I12" s="8"/>
    </row>
    <row r="13" spans="1:9" ht="26.25" customHeight="1" x14ac:dyDescent="0.35">
      <c r="A13" s="69"/>
      <c r="B13" s="9"/>
      <c r="C13" s="8"/>
      <c r="D13" s="53"/>
      <c r="E13" s="53"/>
      <c r="F13" s="53"/>
      <c r="G13" s="53"/>
      <c r="H13" s="53"/>
      <c r="I13" s="8"/>
    </row>
    <row r="14" spans="1:9" ht="26.25" customHeight="1" x14ac:dyDescent="0.35">
      <c r="A14" s="69"/>
      <c r="B14" s="9"/>
      <c r="C14" s="8"/>
      <c r="D14" s="53"/>
      <c r="E14" s="53"/>
      <c r="F14" s="53"/>
      <c r="G14" s="53"/>
      <c r="H14" s="53"/>
      <c r="I14" s="8"/>
    </row>
    <row r="15" spans="1:9" ht="26.25" customHeight="1" x14ac:dyDescent="0.35">
      <c r="A15" s="69"/>
      <c r="B15" s="9"/>
      <c r="C15" s="8"/>
      <c r="D15" s="53"/>
      <c r="E15" s="53"/>
      <c r="F15" s="53"/>
      <c r="G15" s="53"/>
      <c r="H15" s="53"/>
      <c r="I15" s="8"/>
    </row>
    <row r="16" spans="1:9" ht="26.25" customHeight="1" x14ac:dyDescent="0.35">
      <c r="A16" s="69"/>
      <c r="B16" s="9"/>
      <c r="C16" s="8"/>
      <c r="D16" s="53"/>
      <c r="E16" s="53"/>
      <c r="F16" s="53"/>
      <c r="G16" s="53"/>
      <c r="H16" s="53"/>
      <c r="I16" s="8"/>
    </row>
    <row r="17" spans="1:9" ht="26.25" customHeight="1" x14ac:dyDescent="0.35">
      <c r="A17" s="69"/>
      <c r="B17" s="9"/>
      <c r="C17" s="8"/>
      <c r="D17" s="53"/>
      <c r="E17" s="53"/>
      <c r="F17" s="53"/>
      <c r="G17" s="53"/>
      <c r="H17" s="53"/>
      <c r="I17" s="8"/>
    </row>
    <row r="18" spans="1:9" ht="26.25" customHeight="1" x14ac:dyDescent="0.35">
      <c r="A18" s="69"/>
      <c r="B18" s="9"/>
      <c r="C18" s="8"/>
      <c r="D18" s="53"/>
      <c r="E18" s="186"/>
      <c r="F18" s="53"/>
      <c r="G18" s="53"/>
      <c r="H18" s="53"/>
      <c r="I18" s="8"/>
    </row>
    <row r="19" spans="1:9" ht="26.25" customHeight="1" x14ac:dyDescent="0.35">
      <c r="A19" s="69"/>
      <c r="B19" s="9"/>
      <c r="C19" s="8"/>
      <c r="D19" s="53"/>
      <c r="E19" s="187"/>
      <c r="F19" s="53"/>
      <c r="G19" s="53"/>
      <c r="H19" s="53"/>
      <c r="I19" s="8"/>
    </row>
    <row r="20" spans="1:9" ht="26.25" customHeight="1" x14ac:dyDescent="0.35">
      <c r="A20" s="69"/>
      <c r="B20" s="9"/>
      <c r="C20" s="56"/>
      <c r="D20" s="53"/>
      <c r="E20" s="53"/>
      <c r="F20" s="53"/>
      <c r="G20" s="53"/>
      <c r="H20" s="53"/>
      <c r="I20" s="8"/>
    </row>
    <row r="21" spans="1:9" ht="26.25" customHeight="1" x14ac:dyDescent="0.35">
      <c r="A21" s="69"/>
      <c r="B21" s="9"/>
      <c r="C21" s="8"/>
      <c r="D21" s="53"/>
      <c r="E21" s="53"/>
      <c r="F21" s="53"/>
      <c r="G21" s="53"/>
      <c r="H21" s="53"/>
      <c r="I21" s="8"/>
    </row>
    <row r="22" spans="1:9" ht="26.25" customHeight="1" x14ac:dyDescent="0.35">
      <c r="A22" s="69"/>
      <c r="B22" s="9"/>
      <c r="C22" s="8"/>
      <c r="D22" s="53"/>
      <c r="E22" s="53"/>
      <c r="F22" s="53"/>
      <c r="G22" s="53"/>
      <c r="H22" s="53"/>
      <c r="I22" s="8"/>
    </row>
    <row r="23" spans="1:9" ht="26.25" customHeight="1" x14ac:dyDescent="0.35">
      <c r="A23" s="8"/>
      <c r="B23" s="9"/>
      <c r="C23" s="56"/>
      <c r="D23" s="53"/>
      <c r="E23" s="53"/>
      <c r="F23" s="53"/>
      <c r="G23" s="53"/>
      <c r="H23" s="53"/>
      <c r="I23" s="8"/>
    </row>
    <row r="24" spans="1:9" ht="26.25" customHeight="1" x14ac:dyDescent="0.35">
      <c r="A24" s="8"/>
      <c r="B24" s="9"/>
      <c r="C24" s="56"/>
      <c r="D24" s="53"/>
      <c r="E24" s="53"/>
      <c r="F24" s="53"/>
      <c r="G24" s="53"/>
      <c r="H24" s="53"/>
      <c r="I24" s="8"/>
    </row>
    <row r="25" spans="1:9" ht="26.25" customHeight="1" x14ac:dyDescent="0.35">
      <c r="A25" s="8"/>
      <c r="B25" s="9"/>
      <c r="C25" s="56"/>
      <c r="D25" s="53"/>
      <c r="E25" s="53"/>
      <c r="F25" s="53"/>
      <c r="G25" s="53"/>
      <c r="H25" s="53"/>
      <c r="I25" s="8"/>
    </row>
    <row r="26" spans="1:9" ht="26.25" customHeight="1" x14ac:dyDescent="0.35">
      <c r="A26" s="8"/>
      <c r="B26" s="9"/>
      <c r="C26" s="56"/>
      <c r="D26" s="53"/>
      <c r="E26" s="53"/>
      <c r="F26" s="53"/>
      <c r="G26" s="53"/>
      <c r="H26" s="53"/>
      <c r="I26" s="8"/>
    </row>
    <row r="27" spans="1:9" ht="26.25" customHeight="1" x14ac:dyDescent="0.35">
      <c r="A27" s="48"/>
      <c r="B27" s="9"/>
      <c r="C27" s="8"/>
      <c r="D27" s="53"/>
      <c r="E27" s="53"/>
      <c r="F27" s="53"/>
      <c r="G27" s="53"/>
      <c r="H27" s="53"/>
      <c r="I27" s="8"/>
    </row>
    <row r="28" spans="1:9" ht="26.25" customHeight="1" x14ac:dyDescent="0.35">
      <c r="A28" s="48"/>
      <c r="B28" s="9"/>
      <c r="C28" s="8"/>
      <c r="D28" s="53"/>
      <c r="E28" s="53"/>
      <c r="F28" s="53"/>
      <c r="G28" s="53"/>
      <c r="H28" s="53"/>
      <c r="I28" s="8"/>
    </row>
    <row r="29" spans="1:9" ht="26.25" customHeight="1" x14ac:dyDescent="0.35">
      <c r="A29" s="48"/>
      <c r="B29" s="9"/>
      <c r="C29" s="8"/>
      <c r="D29" s="53"/>
      <c r="E29" s="53"/>
      <c r="F29" s="53"/>
      <c r="G29" s="53"/>
      <c r="H29" s="53"/>
      <c r="I29" s="8"/>
    </row>
    <row r="30" spans="1:9" ht="26.25" customHeight="1" x14ac:dyDescent="0.35">
      <c r="A30" s="48"/>
      <c r="B30" s="9"/>
      <c r="C30" s="9"/>
      <c r="D30" s="53"/>
      <c r="E30" s="53"/>
      <c r="F30" s="53"/>
      <c r="G30" s="53"/>
      <c r="H30" s="53"/>
      <c r="I30" s="8"/>
    </row>
    <row r="31" spans="1:9" ht="26.25" customHeight="1" x14ac:dyDescent="0.35">
      <c r="A31" s="48"/>
      <c r="B31" s="9"/>
      <c r="C31" s="8"/>
      <c r="D31" s="53"/>
      <c r="E31" s="53"/>
      <c r="F31" s="53"/>
      <c r="G31" s="53"/>
      <c r="H31" s="53"/>
      <c r="I31" s="8"/>
    </row>
    <row r="32" spans="1:9" ht="26.25" customHeight="1" x14ac:dyDescent="0.35">
      <c r="A32" s="48"/>
      <c r="B32" s="9"/>
      <c r="C32" s="8"/>
      <c r="D32" s="53"/>
      <c r="E32" s="53"/>
      <c r="F32" s="53"/>
      <c r="G32" s="53"/>
      <c r="H32" s="53"/>
      <c r="I32" s="8"/>
    </row>
    <row r="33" spans="1:9" ht="26.25" customHeight="1" x14ac:dyDescent="0.35">
      <c r="A33" s="48"/>
      <c r="B33" s="9"/>
      <c r="C33" s="8"/>
      <c r="D33" s="53"/>
      <c r="E33" s="53"/>
      <c r="F33" s="53"/>
      <c r="G33" s="53"/>
      <c r="H33" s="53"/>
      <c r="I33" s="8"/>
    </row>
    <row r="34" spans="1:9" ht="26.25" customHeight="1" x14ac:dyDescent="0.35">
      <c r="A34" s="48"/>
      <c r="B34" s="9"/>
      <c r="C34" s="8"/>
      <c r="D34" s="53"/>
      <c r="E34" s="53"/>
      <c r="F34" s="53"/>
      <c r="G34" s="53"/>
      <c r="H34" s="53"/>
      <c r="I34" s="8"/>
    </row>
    <row r="35" spans="1:9" ht="26.25" customHeight="1" x14ac:dyDescent="0.35">
      <c r="A35" s="48"/>
      <c r="B35" s="9"/>
      <c r="C35" s="8"/>
      <c r="D35" s="53"/>
      <c r="E35" s="53"/>
      <c r="F35" s="53"/>
      <c r="G35" s="53"/>
      <c r="H35" s="53"/>
      <c r="I35" s="8"/>
    </row>
    <row r="36" spans="1:9" ht="26.25" customHeight="1" x14ac:dyDescent="0.35">
      <c r="A36" s="48"/>
      <c r="B36" s="9"/>
      <c r="C36" s="8"/>
      <c r="D36" s="53"/>
      <c r="E36" s="53"/>
      <c r="F36" s="53"/>
      <c r="G36" s="53"/>
      <c r="H36" s="53"/>
      <c r="I36" s="8"/>
    </row>
    <row r="37" spans="1:9" ht="26.25" customHeight="1" x14ac:dyDescent="0.35">
      <c r="A37" s="48"/>
      <c r="B37" s="9"/>
      <c r="C37" s="8"/>
      <c r="D37" s="53"/>
      <c r="E37" s="53"/>
      <c r="F37" s="53"/>
      <c r="G37" s="53"/>
      <c r="H37" s="53"/>
      <c r="I37" s="8"/>
    </row>
    <row r="38" spans="1:9" ht="26.25" customHeight="1" x14ac:dyDescent="0.35">
      <c r="A38" s="48"/>
      <c r="B38" s="9"/>
      <c r="C38" s="8"/>
      <c r="D38" s="53"/>
      <c r="E38" s="53"/>
      <c r="F38" s="53"/>
      <c r="G38" s="53"/>
      <c r="H38" s="53"/>
      <c r="I38" s="8"/>
    </row>
    <row r="39" spans="1:9" ht="26.25" customHeight="1" x14ac:dyDescent="0.35">
      <c r="A39" s="48"/>
      <c r="B39" s="9"/>
      <c r="C39" s="8"/>
      <c r="D39" s="53"/>
      <c r="E39" s="53"/>
      <c r="F39" s="53"/>
      <c r="G39" s="53"/>
      <c r="H39" s="53"/>
      <c r="I39" s="8"/>
    </row>
    <row r="40" spans="1:9" ht="26.25" customHeight="1" x14ac:dyDescent="0.35">
      <c r="A40" s="48"/>
      <c r="B40" s="9"/>
      <c r="C40" s="8"/>
      <c r="D40" s="53"/>
      <c r="E40" s="53"/>
      <c r="F40" s="53"/>
      <c r="G40" s="53"/>
      <c r="H40" s="53"/>
      <c r="I40" s="8"/>
    </row>
    <row r="41" spans="1:9" ht="26.25" customHeight="1" x14ac:dyDescent="0.35">
      <c r="A41" s="48"/>
      <c r="B41" s="9"/>
      <c r="C41" s="8"/>
      <c r="D41" s="53"/>
      <c r="E41" s="53"/>
      <c r="F41" s="53"/>
      <c r="G41" s="53"/>
      <c r="H41" s="53"/>
      <c r="I41" s="8"/>
    </row>
    <row r="42" spans="1:9" ht="26.25" customHeight="1" x14ac:dyDescent="0.35">
      <c r="A42" s="48"/>
      <c r="B42" s="9"/>
      <c r="C42" s="8"/>
      <c r="D42" s="53"/>
      <c r="E42" s="53"/>
      <c r="F42" s="53"/>
      <c r="G42" s="53"/>
      <c r="H42" s="53"/>
      <c r="I42" s="8"/>
    </row>
    <row r="43" spans="1:9" ht="26.25" customHeight="1" x14ac:dyDescent="0.35">
      <c r="A43" s="48"/>
      <c r="B43" s="9"/>
      <c r="C43" s="8"/>
      <c r="D43" s="53"/>
      <c r="E43" s="53"/>
      <c r="F43" s="53"/>
      <c r="G43" s="53"/>
      <c r="H43" s="53"/>
      <c r="I43" s="8"/>
    </row>
    <row r="44" spans="1:9" ht="26.25" customHeight="1" x14ac:dyDescent="0.35">
      <c r="A44" s="48"/>
      <c r="B44" s="9"/>
      <c r="C44" s="8"/>
      <c r="D44" s="53"/>
      <c r="E44" s="53"/>
      <c r="F44" s="53"/>
      <c r="G44" s="53"/>
      <c r="H44" s="53"/>
      <c r="I44" s="8"/>
    </row>
    <row r="45" spans="1:9" ht="26.25" customHeight="1" x14ac:dyDescent="0.35">
      <c r="A45" s="48"/>
      <c r="B45" s="9"/>
      <c r="C45" s="8"/>
      <c r="D45" s="53"/>
      <c r="E45" s="53"/>
      <c r="F45" s="53"/>
      <c r="G45" s="53"/>
      <c r="H45" s="53"/>
      <c r="I45" s="8"/>
    </row>
    <row r="46" spans="1:9" ht="26.25" customHeight="1" x14ac:dyDescent="0.35">
      <c r="A46" s="48"/>
      <c r="B46" s="9"/>
      <c r="C46" s="8"/>
      <c r="D46" s="53"/>
      <c r="E46" s="53"/>
      <c r="F46" s="53"/>
      <c r="G46" s="53"/>
      <c r="H46" s="53"/>
      <c r="I46" s="8"/>
    </row>
    <row r="47" spans="1:9" ht="26.25" customHeight="1" x14ac:dyDescent="0.35">
      <c r="A47" s="48"/>
      <c r="B47" s="9"/>
      <c r="C47" s="8"/>
      <c r="D47" s="53"/>
      <c r="E47" s="53"/>
      <c r="F47" s="53"/>
      <c r="G47" s="53"/>
      <c r="H47" s="53"/>
      <c r="I47" s="8"/>
    </row>
    <row r="48" spans="1:9" ht="26.25" customHeight="1" x14ac:dyDescent="0.35">
      <c r="A48" s="48"/>
      <c r="B48" s="9"/>
      <c r="C48" s="8"/>
      <c r="D48" s="53"/>
      <c r="E48" s="53"/>
      <c r="F48" s="53"/>
      <c r="G48" s="53"/>
      <c r="H48" s="53"/>
      <c r="I48" s="8"/>
    </row>
    <row r="49" spans="1:9" ht="26.25" customHeight="1" x14ac:dyDescent="0.35">
      <c r="A49" s="48"/>
      <c r="B49" s="9"/>
      <c r="C49" s="8"/>
      <c r="D49" s="53"/>
      <c r="E49" s="53"/>
      <c r="F49" s="53"/>
      <c r="G49" s="53"/>
      <c r="H49" s="53"/>
      <c r="I49" s="8"/>
    </row>
    <row r="50" spans="1:9" ht="26.25" customHeight="1" x14ac:dyDescent="0.35">
      <c r="A50" s="8"/>
      <c r="B50" s="9"/>
      <c r="C50" s="8"/>
      <c r="D50" s="53"/>
      <c r="E50" s="53"/>
      <c r="F50" s="53"/>
      <c r="G50" s="53"/>
      <c r="H50" s="53"/>
      <c r="I50" s="8"/>
    </row>
    <row r="51" spans="1:9" ht="26.25" customHeight="1" x14ac:dyDescent="0.35">
      <c r="A51" s="8"/>
      <c r="B51" s="9"/>
      <c r="C51" s="9"/>
      <c r="D51" s="53"/>
      <c r="E51" s="53"/>
      <c r="F51" s="53"/>
      <c r="G51" s="53"/>
      <c r="H51" s="53"/>
      <c r="I51" s="8"/>
    </row>
    <row r="52" spans="1:9" ht="26.25" customHeight="1" x14ac:dyDescent="0.35">
      <c r="A52" s="8"/>
      <c r="B52" s="9"/>
      <c r="C52" s="8"/>
      <c r="D52" s="53"/>
      <c r="E52" s="53"/>
      <c r="F52" s="53"/>
      <c r="G52" s="53"/>
      <c r="H52" s="53"/>
      <c r="I52" s="8"/>
    </row>
    <row r="53" spans="1:9" ht="26.25" customHeight="1" x14ac:dyDescent="0.35">
      <c r="A53" s="8"/>
      <c r="B53" s="9"/>
      <c r="C53" s="8"/>
      <c r="D53" s="53"/>
      <c r="E53" s="53"/>
      <c r="F53" s="53"/>
      <c r="G53" s="53"/>
      <c r="H53" s="53"/>
      <c r="I53" s="8"/>
    </row>
    <row r="54" spans="1:9" ht="26.25" customHeight="1" x14ac:dyDescent="0.35">
      <c r="A54" s="8"/>
      <c r="B54" s="9"/>
      <c r="C54" s="8"/>
      <c r="D54" s="53"/>
      <c r="E54" s="53"/>
      <c r="F54" s="53"/>
      <c r="G54" s="53"/>
      <c r="H54" s="53"/>
      <c r="I54" s="8"/>
    </row>
    <row r="55" spans="1:9" ht="26.25" customHeight="1" x14ac:dyDescent="0.35">
      <c r="A55" s="8"/>
      <c r="B55" s="9"/>
      <c r="C55" s="8"/>
      <c r="D55" s="53"/>
      <c r="E55" s="53"/>
      <c r="F55" s="53"/>
      <c r="G55" s="53"/>
      <c r="H55" s="53"/>
      <c r="I55" s="8"/>
    </row>
    <row r="56" spans="1:9" ht="26.25" customHeight="1" x14ac:dyDescent="0.35">
      <c r="A56" s="8"/>
      <c r="B56" s="9"/>
      <c r="C56" s="8"/>
      <c r="D56" s="53"/>
      <c r="E56" s="53"/>
      <c r="F56" s="53"/>
      <c r="G56" s="53"/>
      <c r="H56" s="53"/>
      <c r="I56" s="8"/>
    </row>
    <row r="57" spans="1:9" ht="26.25" customHeight="1" x14ac:dyDescent="0.35">
      <c r="A57" s="8"/>
      <c r="B57" s="9"/>
      <c r="C57" s="8"/>
      <c r="D57" s="53"/>
      <c r="E57" s="53"/>
      <c r="F57" s="53"/>
      <c r="G57" s="53"/>
      <c r="H57" s="53"/>
      <c r="I57" s="8"/>
    </row>
    <row r="58" spans="1:9" ht="26.25" customHeight="1" x14ac:dyDescent="0.35">
      <c r="A58" s="8"/>
      <c r="B58" s="9"/>
      <c r="C58" s="8"/>
      <c r="D58" s="53"/>
      <c r="E58" s="53"/>
      <c r="F58" s="53"/>
      <c r="G58" s="53"/>
      <c r="H58" s="53"/>
      <c r="I58" s="8"/>
    </row>
    <row r="59" spans="1:9" ht="26.25" customHeight="1" x14ac:dyDescent="0.35">
      <c r="A59" s="8"/>
      <c r="B59" s="9"/>
      <c r="C59" s="42"/>
      <c r="D59" s="53"/>
      <c r="E59" s="53"/>
      <c r="F59" s="53"/>
      <c r="G59" s="53"/>
      <c r="H59" s="53"/>
      <c r="I59" s="8"/>
    </row>
    <row r="60" spans="1:9" ht="26.25" customHeight="1" x14ac:dyDescent="0.35">
      <c r="A60" s="8"/>
      <c r="B60" s="9"/>
      <c r="C60" s="42"/>
      <c r="D60" s="53"/>
      <c r="E60" s="53"/>
      <c r="F60" s="53"/>
      <c r="G60" s="53"/>
      <c r="H60" s="53"/>
      <c r="I60" s="8"/>
    </row>
    <row r="61" spans="1:9" ht="26.25" customHeight="1" x14ac:dyDescent="0.35">
      <c r="A61" s="8"/>
      <c r="B61" s="9"/>
      <c r="C61" s="8"/>
      <c r="D61" s="53"/>
      <c r="E61" s="53"/>
      <c r="F61" s="53"/>
      <c r="G61" s="53"/>
      <c r="H61" s="53"/>
      <c r="I61" s="8"/>
    </row>
    <row r="62" spans="1:9" ht="26.25" customHeight="1" x14ac:dyDescent="0.35">
      <c r="A62" s="8"/>
      <c r="B62" s="9"/>
      <c r="C62" s="8"/>
      <c r="D62" s="53"/>
      <c r="E62" s="53"/>
      <c r="F62" s="53"/>
      <c r="G62" s="53"/>
      <c r="H62" s="53"/>
      <c r="I62" s="8"/>
    </row>
    <row r="63" spans="1:9" ht="26.25" customHeight="1" x14ac:dyDescent="0.35">
      <c r="A63" s="8"/>
      <c r="B63" s="9"/>
      <c r="C63" s="8"/>
      <c r="D63" s="53"/>
      <c r="E63" s="53"/>
      <c r="F63" s="53"/>
      <c r="G63" s="53"/>
      <c r="H63" s="53"/>
      <c r="I63" s="8"/>
    </row>
    <row r="64" spans="1:9" ht="26.25" customHeight="1" x14ac:dyDescent="0.35">
      <c r="A64" s="48"/>
      <c r="B64" s="9"/>
      <c r="C64" s="8"/>
      <c r="D64" s="53"/>
      <c r="E64" s="53"/>
      <c r="F64" s="53"/>
      <c r="G64" s="53"/>
      <c r="H64" s="53"/>
      <c r="I64" s="8"/>
    </row>
    <row r="65" spans="1:9" ht="26.25" customHeight="1" x14ac:dyDescent="0.35">
      <c r="A65" s="48"/>
      <c r="B65" s="9"/>
      <c r="C65" s="8"/>
      <c r="D65" s="53"/>
      <c r="E65" s="53"/>
      <c r="F65" s="53"/>
      <c r="G65" s="53"/>
      <c r="H65" s="53"/>
      <c r="I65" s="8"/>
    </row>
    <row r="66" spans="1:9" ht="26.25" customHeight="1" x14ac:dyDescent="0.35">
      <c r="A66" s="48"/>
      <c r="B66" s="9"/>
      <c r="C66" s="8"/>
      <c r="D66" s="53"/>
      <c r="E66" s="53"/>
      <c r="F66" s="53"/>
      <c r="G66" s="53"/>
      <c r="H66" s="53"/>
      <c r="I66" s="8"/>
    </row>
    <row r="67" spans="1:9" ht="26.25" customHeight="1" x14ac:dyDescent="0.35">
      <c r="A67" s="48"/>
      <c r="B67" s="9"/>
      <c r="C67" s="8"/>
      <c r="D67" s="53"/>
      <c r="E67" s="53"/>
      <c r="F67" s="53"/>
      <c r="G67" s="53"/>
      <c r="H67" s="53"/>
      <c r="I67" s="8"/>
    </row>
    <row r="68" spans="1:9" ht="26.25" customHeight="1" x14ac:dyDescent="0.35">
      <c r="A68" s="48"/>
      <c r="B68" s="9"/>
      <c r="C68" s="8"/>
      <c r="D68" s="53"/>
      <c r="E68" s="53"/>
      <c r="F68" s="53"/>
      <c r="G68" s="53"/>
      <c r="H68" s="53"/>
      <c r="I68" s="8"/>
    </row>
    <row r="69" spans="1:9" ht="26.25" customHeight="1" x14ac:dyDescent="0.35">
      <c r="A69" s="48"/>
      <c r="B69" s="9"/>
      <c r="C69" s="8"/>
      <c r="D69" s="53"/>
      <c r="E69" s="53"/>
      <c r="F69" s="53"/>
      <c r="G69" s="53"/>
      <c r="H69" s="53"/>
      <c r="I69" s="8"/>
    </row>
    <row r="70" spans="1:9" ht="26.25" customHeight="1" x14ac:dyDescent="0.35">
      <c r="A70" s="48"/>
      <c r="B70" s="9"/>
      <c r="C70" s="8"/>
      <c r="D70" s="53"/>
      <c r="E70" s="53"/>
      <c r="F70" s="53"/>
      <c r="G70" s="53"/>
      <c r="H70" s="53"/>
      <c r="I70" s="8"/>
    </row>
    <row r="71" spans="1:9" ht="26.25" customHeight="1" x14ac:dyDescent="0.35">
      <c r="A71" s="48"/>
      <c r="B71" s="9"/>
      <c r="C71" s="8"/>
      <c r="D71" s="53"/>
      <c r="E71" s="53"/>
      <c r="F71" s="53"/>
      <c r="G71" s="53"/>
      <c r="H71" s="53"/>
      <c r="I71" s="8"/>
    </row>
    <row r="72" spans="1:9" ht="26.25" customHeight="1" x14ac:dyDescent="0.35">
      <c r="A72" s="48"/>
      <c r="B72" s="9"/>
      <c r="C72" s="8"/>
      <c r="D72" s="53"/>
      <c r="E72" s="53"/>
      <c r="F72" s="53"/>
      <c r="G72" s="53"/>
      <c r="H72" s="53"/>
      <c r="I72" s="8"/>
    </row>
    <row r="73" spans="1:9" ht="26.25" customHeight="1" x14ac:dyDescent="0.35">
      <c r="A73" s="48"/>
      <c r="B73" s="9"/>
      <c r="C73" s="8"/>
      <c r="D73" s="53"/>
      <c r="E73" s="53"/>
      <c r="F73" s="53"/>
      <c r="G73" s="53"/>
      <c r="H73" s="53"/>
      <c r="I73" s="8"/>
    </row>
    <row r="74" spans="1:9" ht="26.25" customHeight="1" x14ac:dyDescent="0.35">
      <c r="A74" s="48"/>
      <c r="B74" s="9"/>
      <c r="C74" s="8"/>
      <c r="D74" s="53"/>
      <c r="E74" s="53"/>
      <c r="F74" s="53"/>
      <c r="G74" s="53"/>
      <c r="H74" s="53"/>
      <c r="I74" s="8"/>
    </row>
    <row r="75" spans="1:9" ht="26.25" customHeight="1" x14ac:dyDescent="0.35">
      <c r="A75" s="48"/>
      <c r="B75" s="9"/>
      <c r="C75" s="8"/>
      <c r="D75" s="53"/>
      <c r="E75" s="53"/>
      <c r="F75" s="53"/>
      <c r="G75" s="53"/>
      <c r="H75" s="53"/>
      <c r="I75" s="8"/>
    </row>
    <row r="76" spans="1:9" ht="26.25" customHeight="1" x14ac:dyDescent="0.35">
      <c r="A76" s="48"/>
      <c r="B76" s="9"/>
      <c r="C76" s="8"/>
      <c r="D76" s="53"/>
      <c r="E76" s="53"/>
      <c r="F76" s="53"/>
      <c r="G76" s="53"/>
      <c r="H76" s="53"/>
      <c r="I76" s="8"/>
    </row>
    <row r="77" spans="1:9" ht="26.25" customHeight="1" x14ac:dyDescent="0.35">
      <c r="A77" s="8"/>
      <c r="B77" s="9"/>
      <c r="C77" s="8"/>
      <c r="D77" s="53"/>
      <c r="E77" s="53"/>
      <c r="F77" s="53"/>
      <c r="G77" s="53"/>
      <c r="H77" s="53"/>
      <c r="I77" s="8"/>
    </row>
    <row r="78" spans="1:9" ht="26.25" customHeight="1" x14ac:dyDescent="0.35">
      <c r="A78" s="8"/>
      <c r="B78" s="9"/>
      <c r="C78" s="8"/>
      <c r="D78" s="53"/>
      <c r="E78" s="53"/>
      <c r="F78" s="53"/>
      <c r="G78" s="53"/>
      <c r="H78" s="53"/>
      <c r="I78" s="8"/>
    </row>
    <row r="79" spans="1:9" ht="26.25" customHeight="1" x14ac:dyDescent="0.35">
      <c r="A79" s="8"/>
      <c r="B79" s="9"/>
      <c r="C79" s="8"/>
      <c r="D79" s="53"/>
      <c r="E79" s="53"/>
      <c r="F79" s="53"/>
      <c r="G79" s="53"/>
      <c r="H79" s="53"/>
      <c r="I79" s="8"/>
    </row>
    <row r="80" spans="1:9" ht="26.25" customHeight="1" x14ac:dyDescent="0.35">
      <c r="A80" s="8"/>
      <c r="B80" s="9"/>
      <c r="C80" s="8"/>
      <c r="D80" s="53"/>
      <c r="E80" s="53"/>
      <c r="F80" s="53"/>
      <c r="G80" s="53"/>
      <c r="H80" s="53"/>
      <c r="I80" s="8"/>
    </row>
    <row r="81" spans="1:9" ht="26.25" customHeight="1" x14ac:dyDescent="0.35">
      <c r="A81" s="8"/>
      <c r="B81" s="9"/>
      <c r="C81" s="8"/>
      <c r="D81" s="53"/>
      <c r="E81" s="53"/>
      <c r="F81" s="53"/>
      <c r="G81" s="53"/>
      <c r="H81" s="53"/>
      <c r="I81" s="8"/>
    </row>
    <row r="82" spans="1:9" ht="26.25" customHeight="1" x14ac:dyDescent="0.35">
      <c r="A82" s="8"/>
      <c r="B82" s="9"/>
      <c r="C82" s="8"/>
      <c r="D82" s="53"/>
      <c r="E82" s="53"/>
      <c r="F82" s="53"/>
      <c r="G82" s="53"/>
      <c r="H82" s="53"/>
      <c r="I82" s="8"/>
    </row>
    <row r="83" spans="1:9" ht="26.25" customHeight="1" x14ac:dyDescent="0.35">
      <c r="A83" s="8"/>
      <c r="B83" s="9"/>
      <c r="C83" s="8"/>
      <c r="D83" s="53"/>
      <c r="E83" s="53"/>
      <c r="F83" s="53"/>
      <c r="G83" s="53"/>
      <c r="H83" s="53"/>
      <c r="I83" s="8"/>
    </row>
    <row r="84" spans="1:9" ht="26.25" customHeight="1" x14ac:dyDescent="0.35">
      <c r="A84" s="48"/>
      <c r="B84" s="9"/>
      <c r="C84" s="8"/>
      <c r="D84" s="53"/>
      <c r="E84" s="53"/>
      <c r="F84" s="53"/>
      <c r="G84" s="53"/>
      <c r="H84" s="53"/>
      <c r="I84" s="8"/>
    </row>
    <row r="85" spans="1:9" ht="26.25" customHeight="1" x14ac:dyDescent="0.35">
      <c r="A85" s="48"/>
      <c r="B85" s="9"/>
      <c r="C85" s="8"/>
      <c r="D85" s="53"/>
      <c r="E85" s="53"/>
      <c r="F85" s="53"/>
      <c r="G85" s="53"/>
      <c r="H85" s="53"/>
      <c r="I85" s="8"/>
    </row>
    <row r="86" spans="1:9" ht="26.25" customHeight="1" x14ac:dyDescent="0.35">
      <c r="A86" s="48"/>
      <c r="B86" s="9"/>
      <c r="C86" s="8"/>
      <c r="D86" s="53"/>
      <c r="E86" s="53"/>
      <c r="F86" s="53"/>
      <c r="G86" s="53"/>
      <c r="H86" s="53"/>
      <c r="I86" s="8"/>
    </row>
    <row r="87" spans="1:9" ht="26.25" customHeight="1" x14ac:dyDescent="0.35">
      <c r="A87" s="48"/>
      <c r="B87" s="9"/>
      <c r="C87" s="8"/>
      <c r="D87" s="53"/>
      <c r="E87" s="53"/>
      <c r="F87" s="53"/>
      <c r="G87" s="53"/>
      <c r="H87" s="53"/>
      <c r="I87" s="8"/>
    </row>
    <row r="88" spans="1:9" ht="26.25" customHeight="1" x14ac:dyDescent="0.35">
      <c r="A88" s="48"/>
      <c r="B88" s="9"/>
      <c r="C88" s="8"/>
      <c r="D88" s="53"/>
      <c r="E88" s="53"/>
      <c r="F88" s="53"/>
      <c r="G88" s="53"/>
      <c r="H88" s="53"/>
      <c r="I88" s="8"/>
    </row>
    <row r="89" spans="1:9" ht="26.25" customHeight="1" x14ac:dyDescent="0.35">
      <c r="A89" s="48"/>
      <c r="B89" s="9"/>
      <c r="C89" s="8"/>
      <c r="D89" s="53"/>
      <c r="E89" s="53"/>
      <c r="F89" s="53"/>
      <c r="G89" s="53"/>
      <c r="H89" s="53"/>
      <c r="I89" s="8"/>
    </row>
    <row r="90" spans="1:9" ht="26.25" customHeight="1" x14ac:dyDescent="0.35">
      <c r="A90" s="48"/>
      <c r="B90" s="9"/>
      <c r="C90" s="8"/>
      <c r="D90" s="53"/>
      <c r="E90" s="53"/>
      <c r="F90" s="53"/>
      <c r="G90" s="53"/>
      <c r="H90" s="53"/>
      <c r="I90" s="8"/>
    </row>
    <row r="91" spans="1:9" ht="26.25" customHeight="1" x14ac:dyDescent="0.35">
      <c r="A91" s="48"/>
      <c r="B91" s="9"/>
      <c r="C91" s="8"/>
      <c r="D91" s="53"/>
      <c r="E91" s="53"/>
      <c r="F91" s="53"/>
      <c r="G91" s="53"/>
      <c r="H91" s="53"/>
      <c r="I91" s="8"/>
    </row>
    <row r="92" spans="1:9" ht="26.25" customHeight="1" x14ac:dyDescent="0.35">
      <c r="A92" s="48"/>
      <c r="B92" s="9"/>
      <c r="C92" s="8"/>
      <c r="D92" s="53"/>
      <c r="E92" s="53"/>
      <c r="F92" s="53"/>
      <c r="G92" s="53"/>
      <c r="H92" s="53"/>
      <c r="I92" s="8"/>
    </row>
    <row r="93" spans="1:9" ht="26.25" customHeight="1" x14ac:dyDescent="0.35">
      <c r="A93" s="48"/>
      <c r="B93" s="9"/>
      <c r="C93" s="8"/>
      <c r="D93" s="53"/>
      <c r="E93" s="53"/>
      <c r="F93" s="53"/>
      <c r="G93" s="53"/>
      <c r="H93" s="53"/>
      <c r="I93" s="8"/>
    </row>
    <row r="94" spans="1:9" ht="26.25" customHeight="1" x14ac:dyDescent="0.35">
      <c r="A94" s="48"/>
      <c r="B94" s="9"/>
      <c r="C94" s="8"/>
      <c r="D94" s="53"/>
      <c r="E94" s="53"/>
      <c r="F94" s="53"/>
      <c r="G94" s="53"/>
      <c r="H94" s="53"/>
      <c r="I94" s="8"/>
    </row>
    <row r="95" spans="1:9" ht="26.25" customHeight="1" x14ac:dyDescent="0.35">
      <c r="A95" s="8"/>
      <c r="B95" s="9"/>
      <c r="C95" s="8"/>
      <c r="D95" s="53"/>
      <c r="E95" s="53"/>
      <c r="F95" s="53"/>
      <c r="G95" s="53"/>
      <c r="H95" s="53"/>
      <c r="I95" s="8"/>
    </row>
    <row r="96" spans="1:9" ht="26.25" customHeight="1" x14ac:dyDescent="0.35">
      <c r="A96" s="8"/>
      <c r="B96" s="9"/>
      <c r="C96" s="8"/>
      <c r="D96" s="53"/>
      <c r="E96" s="53"/>
      <c r="F96" s="53"/>
      <c r="G96" s="53"/>
      <c r="H96" s="53"/>
      <c r="I96" s="8"/>
    </row>
    <row r="97" spans="1:9" ht="26.25" customHeight="1" x14ac:dyDescent="0.35">
      <c r="A97" s="8"/>
      <c r="B97" s="9"/>
      <c r="C97" s="8"/>
      <c r="D97" s="53"/>
      <c r="E97" s="53"/>
      <c r="F97" s="53"/>
      <c r="G97" s="53"/>
      <c r="H97" s="53"/>
      <c r="I97" s="8"/>
    </row>
    <row r="98" spans="1:9" ht="21" customHeight="1" x14ac:dyDescent="0.35">
      <c r="A98" s="57"/>
      <c r="B98" s="58"/>
      <c r="C98" s="57" t="s">
        <v>40</v>
      </c>
      <c r="D98" s="59">
        <f>SUM(D3:D97)</f>
        <v>0</v>
      </c>
      <c r="E98" s="59"/>
      <c r="F98" s="59">
        <f>SUM(F4:F97)</f>
        <v>0</v>
      </c>
      <c r="G98" s="59"/>
      <c r="H98" s="59"/>
      <c r="I98" s="57"/>
    </row>
  </sheetData>
  <mergeCells count="2">
    <mergeCell ref="A1:I1"/>
    <mergeCell ref="E18:E19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FF09-6C48-4B52-A004-8F3B9B7F51B5}">
  <dimension ref="A1:G15"/>
  <sheetViews>
    <sheetView workbookViewId="0">
      <selection activeCell="G6" sqref="G6"/>
    </sheetView>
  </sheetViews>
  <sheetFormatPr defaultRowHeight="21" customHeight="1" x14ac:dyDescent="0.35"/>
  <cols>
    <col min="1" max="1" width="12.5" style="50" customWidth="1"/>
    <col min="2" max="2" width="10.875" style="55" customWidth="1"/>
    <col min="3" max="3" width="38.375" style="50" customWidth="1"/>
    <col min="4" max="6" width="16.5" style="54" customWidth="1"/>
    <col min="7" max="7" width="16.5" style="50" customWidth="1"/>
    <col min="8" max="16384" width="9" style="50"/>
  </cols>
  <sheetData>
    <row r="1" spans="1:7" ht="21" customHeight="1" x14ac:dyDescent="0.35">
      <c r="A1" s="184" t="s">
        <v>48</v>
      </c>
      <c r="B1" s="184"/>
      <c r="C1" s="184"/>
      <c r="D1" s="184"/>
      <c r="E1" s="184"/>
      <c r="F1" s="184"/>
      <c r="G1" s="184"/>
    </row>
    <row r="2" spans="1:7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7" ht="24.75" customHeight="1" x14ac:dyDescent="0.35">
      <c r="A3" s="49"/>
      <c r="B3" s="9"/>
      <c r="C3" s="9" t="s">
        <v>106</v>
      </c>
      <c r="D3" s="53"/>
      <c r="E3" s="53"/>
      <c r="F3" s="53">
        <f>D3</f>
        <v>0</v>
      </c>
      <c r="G3" s="8"/>
    </row>
    <row r="4" spans="1:7" ht="43.5" customHeight="1" x14ac:dyDescent="0.35">
      <c r="A4" s="49"/>
      <c r="B4" s="85"/>
      <c r="C4" s="61" t="s">
        <v>112</v>
      </c>
      <c r="D4" s="53"/>
      <c r="E4" s="53"/>
      <c r="F4" s="53">
        <f>F3-E4</f>
        <v>0</v>
      </c>
      <c r="G4" s="8"/>
    </row>
    <row r="5" spans="1:7" ht="24.75" customHeight="1" x14ac:dyDescent="0.35">
      <c r="A5" s="49"/>
      <c r="B5" s="9"/>
      <c r="C5" s="9" t="s">
        <v>107</v>
      </c>
      <c r="D5" s="53"/>
      <c r="E5" s="53"/>
      <c r="F5" s="53">
        <f>F4+D5</f>
        <v>0</v>
      </c>
      <c r="G5" s="8"/>
    </row>
    <row r="6" spans="1:7" ht="44.25" customHeight="1" x14ac:dyDescent="0.35">
      <c r="A6" s="49"/>
      <c r="B6" s="85"/>
      <c r="C6" s="42" t="s">
        <v>113</v>
      </c>
      <c r="D6" s="53"/>
      <c r="E6" s="53"/>
      <c r="F6" s="53">
        <f>F5-E6</f>
        <v>0</v>
      </c>
      <c r="G6" s="8"/>
    </row>
    <row r="7" spans="1:7" ht="24.75" customHeight="1" x14ac:dyDescent="0.35">
      <c r="A7" s="49"/>
      <c r="B7" s="9"/>
      <c r="C7" s="8" t="s">
        <v>114</v>
      </c>
      <c r="D7" s="53"/>
      <c r="E7" s="53"/>
      <c r="F7" s="53">
        <f>F6-E7</f>
        <v>0</v>
      </c>
      <c r="G7" s="8"/>
    </row>
    <row r="8" spans="1:7" ht="24.75" customHeight="1" x14ac:dyDescent="0.35">
      <c r="A8" s="49"/>
      <c r="B8" s="9"/>
      <c r="C8" s="9" t="s">
        <v>111</v>
      </c>
      <c r="D8" s="53"/>
      <c r="E8" s="53"/>
      <c r="F8" s="53">
        <f>F7+D8</f>
        <v>0</v>
      </c>
      <c r="G8" s="8"/>
    </row>
    <row r="9" spans="1:7" ht="44.25" customHeight="1" x14ac:dyDescent="0.35">
      <c r="A9" s="48"/>
      <c r="B9" s="85"/>
      <c r="C9" s="61" t="s">
        <v>115</v>
      </c>
      <c r="D9" s="53"/>
      <c r="E9" s="53"/>
      <c r="F9" s="53">
        <f>F8-E9</f>
        <v>0</v>
      </c>
      <c r="G9" s="8"/>
    </row>
    <row r="10" spans="1:7" ht="24.75" customHeight="1" x14ac:dyDescent="0.35">
      <c r="A10" s="48"/>
      <c r="B10" s="9"/>
      <c r="C10" s="34" t="s">
        <v>117</v>
      </c>
      <c r="D10" s="53"/>
      <c r="E10" s="53"/>
      <c r="F10" s="53">
        <f>F9-E10</f>
        <v>0</v>
      </c>
      <c r="G10" s="8"/>
    </row>
    <row r="11" spans="1:7" ht="24.75" customHeight="1" x14ac:dyDescent="0.35">
      <c r="A11" s="48"/>
      <c r="B11" s="9"/>
      <c r="C11" s="34" t="s">
        <v>118</v>
      </c>
      <c r="D11" s="53"/>
      <c r="E11" s="53"/>
      <c r="F11" s="53">
        <f>F10-E11</f>
        <v>0</v>
      </c>
      <c r="G11" s="8"/>
    </row>
    <row r="12" spans="1:7" ht="24.75" customHeight="1" x14ac:dyDescent="0.35">
      <c r="A12" s="48"/>
      <c r="B12" s="9"/>
      <c r="C12" s="34"/>
      <c r="D12" s="53"/>
      <c r="E12" s="53"/>
      <c r="F12" s="53"/>
      <c r="G12" s="8"/>
    </row>
    <row r="13" spans="1:7" ht="24.75" customHeight="1" x14ac:dyDescent="0.35">
      <c r="A13" s="8"/>
      <c r="B13" s="9"/>
      <c r="C13" s="8"/>
      <c r="D13" s="53"/>
      <c r="E13" s="53"/>
      <c r="F13" s="53"/>
      <c r="G13" s="8"/>
    </row>
    <row r="14" spans="1:7" ht="21" customHeight="1" x14ac:dyDescent="0.35">
      <c r="A14" s="8"/>
      <c r="B14" s="9"/>
      <c r="C14" s="8"/>
      <c r="D14" s="53"/>
      <c r="E14" s="53"/>
      <c r="F14" s="53"/>
      <c r="G14" s="8"/>
    </row>
    <row r="15" spans="1:7" ht="21" customHeight="1" x14ac:dyDescent="0.35">
      <c r="A15" s="57"/>
      <c r="B15" s="58"/>
      <c r="C15" s="57" t="s">
        <v>40</v>
      </c>
      <c r="D15" s="59">
        <f>SUM(D3:D14)</f>
        <v>0</v>
      </c>
      <c r="E15" s="59">
        <f>SUM(E3:E14)</f>
        <v>0</v>
      </c>
      <c r="F15" s="59">
        <f>D15-E15</f>
        <v>0</v>
      </c>
      <c r="G15" s="57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8CF7-8DE6-4BBB-94A6-EABA5C2881AD}">
  <dimension ref="A1:G10"/>
  <sheetViews>
    <sheetView workbookViewId="0">
      <selection activeCell="A3" sqref="A3:XFD9"/>
    </sheetView>
  </sheetViews>
  <sheetFormatPr defaultRowHeight="21" customHeight="1" x14ac:dyDescent="0.35"/>
  <cols>
    <col min="1" max="1" width="12.5" style="50" customWidth="1"/>
    <col min="2" max="2" width="10.875" style="55" customWidth="1"/>
    <col min="3" max="3" width="38.375" style="50" customWidth="1"/>
    <col min="4" max="6" width="16.5" style="54" customWidth="1"/>
    <col min="7" max="7" width="16.5" style="50" customWidth="1"/>
    <col min="8" max="16384" width="9" style="50"/>
  </cols>
  <sheetData>
    <row r="1" spans="1:7" ht="21" customHeight="1" x14ac:dyDescent="0.35">
      <c r="A1" s="184" t="s">
        <v>8</v>
      </c>
      <c r="B1" s="184"/>
      <c r="C1" s="184"/>
      <c r="D1" s="184"/>
      <c r="E1" s="184"/>
      <c r="F1" s="184"/>
      <c r="G1" s="184"/>
    </row>
    <row r="2" spans="1:7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7" ht="21" customHeight="1" x14ac:dyDescent="0.35">
      <c r="A3" s="94"/>
      <c r="B3" s="7"/>
      <c r="C3" s="7"/>
      <c r="D3" s="95"/>
      <c r="E3" s="95"/>
      <c r="F3" s="95"/>
      <c r="G3" s="91"/>
    </row>
    <row r="4" spans="1:7" ht="42.75" customHeight="1" x14ac:dyDescent="0.35">
      <c r="A4" s="94"/>
      <c r="B4" s="7"/>
      <c r="C4" s="96"/>
      <c r="D4" s="95"/>
      <c r="E4" s="95"/>
      <c r="F4" s="95"/>
      <c r="G4" s="91"/>
    </row>
    <row r="5" spans="1:7" ht="21" customHeight="1" x14ac:dyDescent="0.35">
      <c r="A5" s="88"/>
      <c r="B5" s="7"/>
      <c r="C5" s="7"/>
      <c r="D5" s="95"/>
      <c r="E5" s="95"/>
      <c r="F5" s="95"/>
      <c r="G5" s="91"/>
    </row>
    <row r="6" spans="1:7" ht="42" customHeight="1" x14ac:dyDescent="0.35">
      <c r="A6" s="88"/>
      <c r="B6" s="7"/>
      <c r="C6" s="96"/>
      <c r="D6" s="95"/>
      <c r="E6" s="95"/>
      <c r="F6" s="95"/>
      <c r="G6" s="91"/>
    </row>
    <row r="7" spans="1:7" ht="21" customHeight="1" x14ac:dyDescent="0.35">
      <c r="A7" s="91"/>
      <c r="B7" s="7"/>
      <c r="C7" s="7"/>
      <c r="D7" s="95"/>
      <c r="E7" s="95"/>
      <c r="F7" s="95"/>
      <c r="G7" s="91"/>
    </row>
    <row r="8" spans="1:7" ht="41.25" customHeight="1" x14ac:dyDescent="0.35">
      <c r="A8" s="91"/>
      <c r="B8" s="7"/>
      <c r="C8" s="96"/>
      <c r="D8" s="95"/>
      <c r="E8" s="95"/>
      <c r="F8" s="95"/>
      <c r="G8" s="91"/>
    </row>
    <row r="9" spans="1:7" ht="21" customHeight="1" x14ac:dyDescent="0.35">
      <c r="A9" s="91"/>
      <c r="B9" s="7"/>
      <c r="C9" s="91"/>
      <c r="D9" s="95"/>
      <c r="E9" s="95"/>
      <c r="F9" s="95"/>
      <c r="G9" s="91"/>
    </row>
    <row r="10" spans="1:7" ht="21" customHeight="1" x14ac:dyDescent="0.35">
      <c r="A10" s="57"/>
      <c r="B10" s="58"/>
      <c r="C10" s="57" t="s">
        <v>40</v>
      </c>
      <c r="D10" s="59">
        <f>SUM(D3:D9)</f>
        <v>0</v>
      </c>
      <c r="E10" s="59">
        <f>SUM(E3:E9)</f>
        <v>0</v>
      </c>
      <c r="F10" s="59">
        <f>D10-E10</f>
        <v>0</v>
      </c>
      <c r="G10" s="57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EE84-4845-4314-8A73-C1CE1418C608}">
  <dimension ref="A1:G8"/>
  <sheetViews>
    <sheetView workbookViewId="0">
      <selection activeCell="A3" sqref="A3:XFD7"/>
    </sheetView>
  </sheetViews>
  <sheetFormatPr defaultRowHeight="21" customHeight="1" x14ac:dyDescent="0.35"/>
  <cols>
    <col min="1" max="1" width="12.5" style="50" customWidth="1"/>
    <col min="2" max="2" width="10.875" style="55" customWidth="1"/>
    <col min="3" max="3" width="38.375" style="50" customWidth="1"/>
    <col min="4" max="6" width="16.5" style="54" customWidth="1"/>
    <col min="7" max="7" width="16.5" style="50" customWidth="1"/>
    <col min="8" max="16384" width="9" style="50"/>
  </cols>
  <sheetData>
    <row r="1" spans="1:7" ht="21" customHeight="1" x14ac:dyDescent="0.35">
      <c r="A1" s="184" t="s">
        <v>9</v>
      </c>
      <c r="B1" s="184"/>
      <c r="C1" s="184"/>
      <c r="D1" s="184"/>
      <c r="E1" s="184"/>
      <c r="F1" s="184"/>
      <c r="G1" s="184"/>
    </row>
    <row r="2" spans="1:7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7" ht="21" customHeight="1" x14ac:dyDescent="0.35">
      <c r="A3" s="49"/>
      <c r="B3" s="9"/>
      <c r="C3" s="9"/>
      <c r="D3" s="53"/>
      <c r="E3" s="53"/>
      <c r="F3" s="53"/>
      <c r="G3" s="8"/>
    </row>
    <row r="4" spans="1:7" ht="42.75" customHeight="1" x14ac:dyDescent="0.35">
      <c r="A4" s="49"/>
      <c r="B4" s="9"/>
      <c r="C4" s="56"/>
      <c r="D4" s="53"/>
      <c r="E4" s="53"/>
      <c r="F4" s="53"/>
      <c r="G4" s="8"/>
    </row>
    <row r="5" spans="1:7" ht="21" customHeight="1" x14ac:dyDescent="0.35">
      <c r="A5" s="49"/>
      <c r="B5" s="9"/>
      <c r="C5" s="9"/>
      <c r="D5" s="53"/>
      <c r="E5" s="53"/>
      <c r="F5" s="53"/>
      <c r="G5" s="8"/>
    </row>
    <row r="6" spans="1:7" ht="42.75" customHeight="1" x14ac:dyDescent="0.35">
      <c r="A6" s="49"/>
      <c r="B6" s="9"/>
      <c r="C6" s="56"/>
      <c r="D6" s="53"/>
      <c r="E6" s="53"/>
      <c r="F6" s="53"/>
      <c r="G6" s="8"/>
    </row>
    <row r="7" spans="1:7" ht="21" customHeight="1" x14ac:dyDescent="0.35">
      <c r="A7" s="49"/>
      <c r="B7" s="9"/>
      <c r="C7" s="8"/>
      <c r="D7" s="53"/>
      <c r="E7" s="53"/>
      <c r="F7" s="53"/>
      <c r="G7" s="8"/>
    </row>
    <row r="8" spans="1:7" ht="21" customHeight="1" x14ac:dyDescent="0.35">
      <c r="A8" s="57"/>
      <c r="B8" s="58"/>
      <c r="C8" s="57" t="s">
        <v>40</v>
      </c>
      <c r="D8" s="59">
        <f>SUM(D3:D7)</f>
        <v>0</v>
      </c>
      <c r="E8" s="59">
        <f>SUM(E3:E7)</f>
        <v>0</v>
      </c>
      <c r="F8" s="59">
        <f>D8-E8</f>
        <v>0</v>
      </c>
      <c r="G8" s="57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F01A-3188-4BF7-A599-93690C1F8B0B}">
  <dimension ref="A1:G8"/>
  <sheetViews>
    <sheetView workbookViewId="0">
      <selection activeCell="B18" sqref="B18"/>
    </sheetView>
  </sheetViews>
  <sheetFormatPr defaultRowHeight="21" customHeight="1" x14ac:dyDescent="0.35"/>
  <cols>
    <col min="1" max="1" width="12.5" style="50" customWidth="1"/>
    <col min="2" max="2" width="10.875" style="55" customWidth="1"/>
    <col min="3" max="3" width="38.375" style="50" customWidth="1"/>
    <col min="4" max="6" width="16.5" style="54" customWidth="1"/>
    <col min="7" max="7" width="16.5" style="50" customWidth="1"/>
    <col min="8" max="16384" width="9" style="50"/>
  </cols>
  <sheetData>
    <row r="1" spans="1:7" ht="21" customHeight="1" x14ac:dyDescent="0.35">
      <c r="A1" s="184" t="s">
        <v>55</v>
      </c>
      <c r="B1" s="184"/>
      <c r="C1" s="184"/>
      <c r="D1" s="184"/>
      <c r="E1" s="184"/>
      <c r="F1" s="184"/>
      <c r="G1" s="184"/>
    </row>
    <row r="2" spans="1:7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7" ht="21" customHeight="1" x14ac:dyDescent="0.35">
      <c r="A3" s="49"/>
      <c r="B3" s="9"/>
      <c r="C3" s="9"/>
      <c r="D3" s="53"/>
      <c r="E3" s="53"/>
      <c r="F3" s="53"/>
      <c r="G3" s="8"/>
    </row>
    <row r="4" spans="1:7" ht="42.75" customHeight="1" x14ac:dyDescent="0.35">
      <c r="A4" s="49"/>
      <c r="B4" s="9"/>
      <c r="C4" s="56"/>
      <c r="D4" s="53"/>
      <c r="E4" s="53"/>
      <c r="F4" s="53"/>
      <c r="G4" s="8"/>
    </row>
    <row r="5" spans="1:7" ht="21" customHeight="1" x14ac:dyDescent="0.35">
      <c r="A5" s="49"/>
      <c r="B5" s="9"/>
      <c r="C5" s="9"/>
      <c r="D5" s="53"/>
      <c r="E5" s="53"/>
      <c r="F5" s="53"/>
      <c r="G5" s="8"/>
    </row>
    <row r="6" spans="1:7" ht="42.75" customHeight="1" x14ac:dyDescent="0.35">
      <c r="A6" s="49"/>
      <c r="B6" s="9"/>
      <c r="C6" s="56"/>
      <c r="D6" s="53"/>
      <c r="E6" s="53"/>
      <c r="F6" s="53"/>
      <c r="G6" s="8"/>
    </row>
    <row r="7" spans="1:7" ht="21" customHeight="1" x14ac:dyDescent="0.35">
      <c r="A7" s="49"/>
      <c r="B7" s="9"/>
      <c r="C7" s="8"/>
      <c r="D7" s="53"/>
      <c r="E7" s="53"/>
      <c r="F7" s="53"/>
      <c r="G7" s="8"/>
    </row>
    <row r="8" spans="1:7" ht="21" customHeight="1" x14ac:dyDescent="0.35">
      <c r="A8" s="57"/>
      <c r="B8" s="58"/>
      <c r="C8" s="57" t="s">
        <v>40</v>
      </c>
      <c r="D8" s="59">
        <f>SUM(D3:D7)</f>
        <v>0</v>
      </c>
      <c r="E8" s="59">
        <f>SUM(E3:E7)</f>
        <v>0</v>
      </c>
      <c r="F8" s="59">
        <f>D8-E8</f>
        <v>0</v>
      </c>
      <c r="G8" s="57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827A-5493-4427-BBD6-481211223F77}">
  <dimension ref="A1:G16"/>
  <sheetViews>
    <sheetView workbookViewId="0">
      <selection activeCell="A3" sqref="A3:XFD15"/>
    </sheetView>
  </sheetViews>
  <sheetFormatPr defaultRowHeight="21" customHeight="1" x14ac:dyDescent="0.35"/>
  <cols>
    <col min="1" max="1" width="12.5" style="50" customWidth="1"/>
    <col min="2" max="2" width="10.875" style="55" customWidth="1"/>
    <col min="3" max="3" width="38.375" style="50" customWidth="1"/>
    <col min="4" max="6" width="16.5" style="54" customWidth="1"/>
    <col min="7" max="7" width="16.5" style="50" customWidth="1"/>
    <col min="8" max="16384" width="9" style="50"/>
  </cols>
  <sheetData>
    <row r="1" spans="1:7" ht="21" customHeight="1" x14ac:dyDescent="0.35">
      <c r="A1" s="184" t="s">
        <v>45</v>
      </c>
      <c r="B1" s="184"/>
      <c r="C1" s="184"/>
      <c r="D1" s="184"/>
      <c r="E1" s="184"/>
      <c r="F1" s="184"/>
      <c r="G1" s="184"/>
    </row>
    <row r="2" spans="1:7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7" ht="21" customHeight="1" x14ac:dyDescent="0.35">
      <c r="A3" s="49"/>
      <c r="B3" s="9"/>
      <c r="C3" s="9"/>
      <c r="D3" s="53"/>
      <c r="E3" s="53"/>
      <c r="F3" s="53"/>
      <c r="G3" s="8"/>
    </row>
    <row r="4" spans="1:7" ht="21" customHeight="1" x14ac:dyDescent="0.35">
      <c r="A4" s="49"/>
      <c r="B4" s="9"/>
      <c r="C4" s="8"/>
      <c r="D4" s="53"/>
      <c r="E4" s="53"/>
      <c r="F4" s="53"/>
      <c r="G4" s="8"/>
    </row>
    <row r="5" spans="1:7" ht="21" customHeight="1" x14ac:dyDescent="0.35">
      <c r="A5" s="48"/>
      <c r="B5" s="9"/>
      <c r="C5" s="8"/>
      <c r="D5" s="53"/>
      <c r="E5" s="53"/>
      <c r="F5" s="53"/>
      <c r="G5" s="8"/>
    </row>
    <row r="6" spans="1:7" ht="21" customHeight="1" x14ac:dyDescent="0.35">
      <c r="A6" s="48"/>
      <c r="B6" s="9"/>
      <c r="C6" s="8"/>
      <c r="D6" s="53"/>
      <c r="E6" s="53"/>
      <c r="F6" s="53"/>
      <c r="G6" s="8"/>
    </row>
    <row r="7" spans="1:7" ht="21" customHeight="1" x14ac:dyDescent="0.35">
      <c r="A7" s="48"/>
      <c r="B7" s="9"/>
      <c r="C7" s="8"/>
      <c r="D7" s="53"/>
      <c r="E7" s="53"/>
      <c r="F7" s="53"/>
      <c r="G7" s="8"/>
    </row>
    <row r="8" spans="1:7" ht="21" customHeight="1" x14ac:dyDescent="0.35">
      <c r="A8" s="48"/>
      <c r="B8" s="9"/>
      <c r="C8" s="8"/>
      <c r="D8" s="53"/>
      <c r="E8" s="53"/>
      <c r="F8" s="53"/>
      <c r="G8" s="8"/>
    </row>
    <row r="9" spans="1:7" ht="21" customHeight="1" x14ac:dyDescent="0.35">
      <c r="A9" s="48"/>
      <c r="B9" s="9"/>
      <c r="C9" s="8"/>
      <c r="D9" s="53"/>
      <c r="E9" s="53"/>
      <c r="F9" s="53"/>
      <c r="G9" s="8"/>
    </row>
    <row r="10" spans="1:7" ht="21" customHeight="1" x14ac:dyDescent="0.35">
      <c r="A10" s="48"/>
      <c r="B10" s="9"/>
      <c r="C10" s="8"/>
      <c r="D10" s="53"/>
      <c r="E10" s="53"/>
      <c r="F10" s="53"/>
      <c r="G10" s="8"/>
    </row>
    <row r="11" spans="1:7" ht="21" customHeight="1" x14ac:dyDescent="0.35">
      <c r="A11" s="48"/>
      <c r="B11" s="9"/>
      <c r="C11" s="8"/>
      <c r="D11" s="53"/>
      <c r="E11" s="53"/>
      <c r="F11" s="53"/>
      <c r="G11" s="8"/>
    </row>
    <row r="12" spans="1:7" ht="21" customHeight="1" x14ac:dyDescent="0.35">
      <c r="A12" s="8"/>
      <c r="B12" s="9"/>
      <c r="C12" s="9"/>
      <c r="D12" s="53"/>
      <c r="E12" s="53"/>
      <c r="F12" s="53"/>
      <c r="G12" s="8"/>
    </row>
    <row r="13" spans="1:7" ht="21" customHeight="1" x14ac:dyDescent="0.35">
      <c r="A13" s="48"/>
      <c r="B13" s="9"/>
      <c r="C13" s="8"/>
      <c r="D13" s="53"/>
      <c r="E13" s="53"/>
      <c r="F13" s="53"/>
      <c r="G13" s="8"/>
    </row>
    <row r="14" spans="1:7" ht="21" customHeight="1" x14ac:dyDescent="0.35">
      <c r="A14" s="48"/>
      <c r="B14" s="9"/>
      <c r="C14" s="8"/>
      <c r="D14" s="53"/>
      <c r="E14" s="53"/>
      <c r="F14" s="53"/>
      <c r="G14" s="8"/>
    </row>
    <row r="15" spans="1:7" ht="21" customHeight="1" x14ac:dyDescent="0.35">
      <c r="A15" s="48"/>
      <c r="B15" s="9"/>
      <c r="C15" s="8"/>
      <c r="D15" s="53"/>
      <c r="E15" s="53"/>
      <c r="F15" s="53"/>
      <c r="G15" s="8"/>
    </row>
    <row r="16" spans="1:7" ht="21" customHeight="1" x14ac:dyDescent="0.35">
      <c r="A16" s="57"/>
      <c r="B16" s="58"/>
      <c r="C16" s="57" t="s">
        <v>40</v>
      </c>
      <c r="D16" s="59">
        <f>SUM(D3:D15)</f>
        <v>0</v>
      </c>
      <c r="E16" s="59">
        <f>SUM(E3:E15)</f>
        <v>0</v>
      </c>
      <c r="F16" s="59">
        <f>D16-E16</f>
        <v>0</v>
      </c>
      <c r="G16" s="57"/>
    </row>
  </sheetData>
  <mergeCells count="1">
    <mergeCell ref="A1:G1"/>
  </mergeCells>
  <phoneticPr fontId="15" type="noConversion"/>
  <pageMargins left="0.7" right="0.7" top="0.75" bottom="0.75" header="0.3" footer="0.3"/>
  <pageSetup paperSize="9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23D73-06B4-438F-953F-2EC77EE9D13A}">
  <dimension ref="A1:G16"/>
  <sheetViews>
    <sheetView workbookViewId="0">
      <selection activeCell="A3" sqref="A3:XFD15"/>
    </sheetView>
  </sheetViews>
  <sheetFormatPr defaultRowHeight="21" customHeight="1" x14ac:dyDescent="0.35"/>
  <cols>
    <col min="1" max="1" width="12.5" style="50" customWidth="1"/>
    <col min="2" max="2" width="10.875" style="55" customWidth="1"/>
    <col min="3" max="3" width="38.375" style="50" customWidth="1"/>
    <col min="4" max="6" width="16.5" style="54" customWidth="1"/>
    <col min="7" max="7" width="16.5" style="50" customWidth="1"/>
    <col min="8" max="16384" width="9" style="50"/>
  </cols>
  <sheetData>
    <row r="1" spans="1:7" ht="21" customHeight="1" x14ac:dyDescent="0.35">
      <c r="A1" s="184" t="s">
        <v>46</v>
      </c>
      <c r="B1" s="184"/>
      <c r="C1" s="184"/>
      <c r="D1" s="184"/>
      <c r="E1" s="184"/>
      <c r="F1" s="184"/>
      <c r="G1" s="184"/>
    </row>
    <row r="2" spans="1:7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7" ht="21" customHeight="1" x14ac:dyDescent="0.35">
      <c r="A3" s="49"/>
      <c r="B3" s="9"/>
      <c r="C3" s="9"/>
      <c r="D3" s="53"/>
      <c r="E3" s="53"/>
      <c r="F3" s="53"/>
      <c r="G3" s="8"/>
    </row>
    <row r="4" spans="1:7" ht="21" customHeight="1" x14ac:dyDescent="0.35">
      <c r="A4" s="49"/>
      <c r="B4" s="9"/>
      <c r="C4" s="8"/>
      <c r="D4" s="53"/>
      <c r="E4" s="53"/>
      <c r="F4" s="53"/>
      <c r="G4" s="8"/>
    </row>
    <row r="5" spans="1:7" ht="21" customHeight="1" x14ac:dyDescent="0.35">
      <c r="A5" s="48"/>
      <c r="B5" s="9"/>
      <c r="C5" s="8"/>
      <c r="D5" s="53"/>
      <c r="E5" s="53"/>
      <c r="F5" s="53"/>
      <c r="G5" s="8"/>
    </row>
    <row r="6" spans="1:7" ht="21" customHeight="1" x14ac:dyDescent="0.35">
      <c r="A6" s="48"/>
      <c r="B6" s="9"/>
      <c r="C6" s="8"/>
      <c r="D6" s="53"/>
      <c r="E6" s="53"/>
      <c r="F6" s="53"/>
      <c r="G6" s="8"/>
    </row>
    <row r="7" spans="1:7" ht="21" customHeight="1" x14ac:dyDescent="0.35">
      <c r="A7" s="48"/>
      <c r="B7" s="9"/>
      <c r="C7" s="8"/>
      <c r="D7" s="53"/>
      <c r="E7" s="53"/>
      <c r="F7" s="53"/>
      <c r="G7" s="8"/>
    </row>
    <row r="8" spans="1:7" ht="21" customHeight="1" x14ac:dyDescent="0.35">
      <c r="A8" s="48"/>
      <c r="B8" s="9"/>
      <c r="C8" s="8"/>
      <c r="D8" s="53"/>
      <c r="E8" s="53"/>
      <c r="F8" s="53"/>
      <c r="G8" s="8"/>
    </row>
    <row r="9" spans="1:7" ht="21" customHeight="1" x14ac:dyDescent="0.35">
      <c r="A9" s="48"/>
      <c r="B9" s="9"/>
      <c r="C9" s="8"/>
      <c r="D9" s="53"/>
      <c r="E9" s="53"/>
      <c r="F9" s="53"/>
      <c r="G9" s="8"/>
    </row>
    <row r="10" spans="1:7" ht="21" customHeight="1" x14ac:dyDescent="0.35">
      <c r="A10" s="48"/>
      <c r="B10" s="9"/>
      <c r="C10" s="8"/>
      <c r="D10" s="53"/>
      <c r="E10" s="53"/>
      <c r="F10" s="53"/>
      <c r="G10" s="8"/>
    </row>
    <row r="11" spans="1:7" ht="21" customHeight="1" x14ac:dyDescent="0.35">
      <c r="A11" s="8"/>
      <c r="B11" s="9"/>
      <c r="C11" s="8"/>
      <c r="D11" s="53"/>
      <c r="E11" s="53"/>
      <c r="F11" s="53"/>
      <c r="G11" s="8"/>
    </row>
    <row r="12" spans="1:7" ht="21" customHeight="1" x14ac:dyDescent="0.35">
      <c r="A12" s="48"/>
      <c r="B12" s="9"/>
      <c r="C12" s="8"/>
      <c r="D12" s="53"/>
      <c r="E12" s="53"/>
      <c r="F12" s="53"/>
      <c r="G12" s="8"/>
    </row>
    <row r="13" spans="1:7" ht="21" customHeight="1" x14ac:dyDescent="0.35">
      <c r="A13" s="48"/>
      <c r="B13" s="9"/>
      <c r="C13" s="8"/>
      <c r="D13" s="53"/>
      <c r="E13" s="53"/>
      <c r="F13" s="53"/>
      <c r="G13" s="8"/>
    </row>
    <row r="14" spans="1:7" ht="21" customHeight="1" x14ac:dyDescent="0.35">
      <c r="A14" s="48"/>
      <c r="B14" s="9"/>
      <c r="C14" s="8"/>
      <c r="D14" s="53"/>
      <c r="E14" s="53"/>
      <c r="F14" s="53"/>
      <c r="G14" s="8"/>
    </row>
    <row r="15" spans="1:7" ht="21" customHeight="1" x14ac:dyDescent="0.35">
      <c r="A15" s="48"/>
      <c r="B15" s="9"/>
      <c r="C15" s="8"/>
      <c r="D15" s="53"/>
      <c r="E15" s="53"/>
      <c r="F15" s="53"/>
      <c r="G15" s="8"/>
    </row>
    <row r="16" spans="1:7" ht="21" customHeight="1" x14ac:dyDescent="0.35">
      <c r="A16" s="57"/>
      <c r="B16" s="58"/>
      <c r="C16" s="57" t="s">
        <v>40</v>
      </c>
      <c r="D16" s="59">
        <f>SUM(D3:D15)</f>
        <v>0</v>
      </c>
      <c r="E16" s="59">
        <f>SUM(E3:E15)</f>
        <v>0</v>
      </c>
      <c r="F16" s="59">
        <f>D16-E16</f>
        <v>0</v>
      </c>
      <c r="G16" s="57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5A841-6CB4-4DA2-942C-734750CA793D}">
  <dimension ref="A1:G16"/>
  <sheetViews>
    <sheetView workbookViewId="0">
      <selection activeCell="A3" sqref="A3:XFD15"/>
    </sheetView>
  </sheetViews>
  <sheetFormatPr defaultRowHeight="21" customHeight="1" x14ac:dyDescent="0.35"/>
  <cols>
    <col min="1" max="1" width="12.5" style="50" customWidth="1"/>
    <col min="2" max="2" width="10.875" style="55" customWidth="1"/>
    <col min="3" max="3" width="38.375" style="50" customWidth="1"/>
    <col min="4" max="6" width="16.5" style="54" customWidth="1"/>
    <col min="7" max="7" width="16.5" style="50" customWidth="1"/>
    <col min="8" max="16384" width="9" style="50"/>
  </cols>
  <sheetData>
    <row r="1" spans="1:7" ht="21" customHeight="1" x14ac:dyDescent="0.35">
      <c r="A1" s="184" t="s">
        <v>50</v>
      </c>
      <c r="B1" s="184"/>
      <c r="C1" s="184"/>
      <c r="D1" s="184"/>
      <c r="E1" s="184"/>
      <c r="F1" s="184"/>
      <c r="G1" s="184"/>
    </row>
    <row r="2" spans="1:7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7" ht="21" customHeight="1" x14ac:dyDescent="0.35">
      <c r="A3" s="49"/>
      <c r="B3" s="9"/>
      <c r="C3" s="9"/>
      <c r="D3" s="53"/>
      <c r="E3" s="53"/>
      <c r="F3" s="53"/>
      <c r="G3" s="8"/>
    </row>
    <row r="4" spans="1:7" ht="21" customHeight="1" x14ac:dyDescent="0.35">
      <c r="A4" s="49"/>
      <c r="B4" s="9"/>
      <c r="C4" s="8"/>
      <c r="D4" s="53"/>
      <c r="E4" s="53"/>
      <c r="F4" s="53"/>
      <c r="G4" s="8"/>
    </row>
    <row r="5" spans="1:7" ht="21" customHeight="1" x14ac:dyDescent="0.35">
      <c r="A5" s="48"/>
      <c r="B5" s="9"/>
      <c r="C5" s="8"/>
      <c r="D5" s="53"/>
      <c r="E5" s="53"/>
      <c r="F5" s="53"/>
      <c r="G5" s="8"/>
    </row>
    <row r="6" spans="1:7" ht="21" customHeight="1" x14ac:dyDescent="0.35">
      <c r="A6" s="48"/>
      <c r="B6" s="9"/>
      <c r="C6" s="8"/>
      <c r="D6" s="53"/>
      <c r="E6" s="53"/>
      <c r="F6" s="53"/>
      <c r="G6" s="8"/>
    </row>
    <row r="7" spans="1:7" ht="21" customHeight="1" x14ac:dyDescent="0.35">
      <c r="A7" s="48"/>
      <c r="B7" s="9"/>
      <c r="C7" s="8"/>
      <c r="D7" s="53"/>
      <c r="E7" s="53"/>
      <c r="F7" s="53"/>
      <c r="G7" s="8"/>
    </row>
    <row r="8" spans="1:7" ht="21" customHeight="1" x14ac:dyDescent="0.35">
      <c r="A8" s="48"/>
      <c r="B8" s="9"/>
      <c r="C8" s="8"/>
      <c r="D8" s="53"/>
      <c r="E8" s="53"/>
      <c r="F8" s="53"/>
      <c r="G8" s="8"/>
    </row>
    <row r="9" spans="1:7" ht="21" customHeight="1" x14ac:dyDescent="0.35">
      <c r="A9" s="8"/>
      <c r="B9" s="9"/>
      <c r="C9" s="8"/>
      <c r="D9" s="53"/>
      <c r="E9" s="53"/>
      <c r="F9" s="53"/>
      <c r="G9" s="8"/>
    </row>
    <row r="10" spans="1:7" ht="21" customHeight="1" x14ac:dyDescent="0.35">
      <c r="A10" s="8"/>
      <c r="B10" s="9"/>
      <c r="C10" s="8"/>
      <c r="D10" s="53"/>
      <c r="E10" s="53"/>
      <c r="F10" s="53"/>
      <c r="G10" s="8"/>
    </row>
    <row r="11" spans="1:7" ht="21" customHeight="1" x14ac:dyDescent="0.35">
      <c r="A11" s="8"/>
      <c r="B11" s="9"/>
      <c r="C11" s="8"/>
      <c r="D11" s="53"/>
      <c r="E11" s="53"/>
      <c r="F11" s="53"/>
      <c r="G11" s="8"/>
    </row>
    <row r="12" spans="1:7" ht="21" customHeight="1" x14ac:dyDescent="0.35">
      <c r="A12" s="8"/>
      <c r="B12" s="9"/>
      <c r="C12" s="8"/>
      <c r="D12" s="53"/>
      <c r="E12" s="53"/>
      <c r="F12" s="53"/>
      <c r="G12" s="8"/>
    </row>
    <row r="13" spans="1:7" ht="21" customHeight="1" x14ac:dyDescent="0.35">
      <c r="A13" s="8"/>
      <c r="B13" s="9"/>
      <c r="C13" s="8"/>
      <c r="D13" s="53"/>
      <c r="E13" s="53"/>
      <c r="F13" s="53"/>
      <c r="G13" s="8"/>
    </row>
    <row r="14" spans="1:7" ht="21" customHeight="1" x14ac:dyDescent="0.35">
      <c r="A14" s="8"/>
      <c r="B14" s="9"/>
      <c r="C14" s="8"/>
      <c r="D14" s="53"/>
      <c r="E14" s="53"/>
      <c r="F14" s="53"/>
      <c r="G14" s="8"/>
    </row>
    <row r="15" spans="1:7" ht="21" customHeight="1" x14ac:dyDescent="0.35">
      <c r="A15" s="8"/>
      <c r="B15" s="9"/>
      <c r="C15" s="8"/>
      <c r="D15" s="53"/>
      <c r="E15" s="53"/>
      <c r="F15" s="53"/>
      <c r="G15" s="8"/>
    </row>
    <row r="16" spans="1:7" ht="21" customHeight="1" x14ac:dyDescent="0.35">
      <c r="A16" s="57"/>
      <c r="B16" s="58"/>
      <c r="C16" s="57" t="s">
        <v>40</v>
      </c>
      <c r="D16" s="59"/>
      <c r="E16" s="59">
        <f>SUM(E4:E15)</f>
        <v>0</v>
      </c>
      <c r="F16" s="59"/>
      <c r="G16" s="57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A88BB-6B75-4400-B573-BDB80B14FF62}">
  <dimension ref="A1:G16"/>
  <sheetViews>
    <sheetView workbookViewId="0">
      <selection sqref="A1:G1"/>
    </sheetView>
  </sheetViews>
  <sheetFormatPr defaultRowHeight="21" customHeight="1" x14ac:dyDescent="0.35"/>
  <cols>
    <col min="1" max="1" width="12.5" style="50" customWidth="1"/>
    <col min="2" max="2" width="10.875" style="55" customWidth="1"/>
    <col min="3" max="3" width="38.375" style="50" customWidth="1"/>
    <col min="4" max="6" width="16.5" style="54" customWidth="1"/>
    <col min="7" max="7" width="16.5" style="50" customWidth="1"/>
    <col min="8" max="16384" width="9" style="50"/>
  </cols>
  <sheetData>
    <row r="1" spans="1:7" ht="21" customHeight="1" x14ac:dyDescent="0.35">
      <c r="A1" s="184" t="s">
        <v>54</v>
      </c>
      <c r="B1" s="184"/>
      <c r="C1" s="184"/>
      <c r="D1" s="184"/>
      <c r="E1" s="184"/>
      <c r="F1" s="184"/>
      <c r="G1" s="184"/>
    </row>
    <row r="2" spans="1:7" ht="40.5" customHeight="1" x14ac:dyDescent="0.35">
      <c r="A2" s="51" t="s">
        <v>31</v>
      </c>
      <c r="B2" s="51" t="s">
        <v>35</v>
      </c>
      <c r="C2" s="51" t="s">
        <v>32</v>
      </c>
      <c r="D2" s="52" t="s">
        <v>36</v>
      </c>
      <c r="E2" s="52" t="s">
        <v>33</v>
      </c>
      <c r="F2" s="52" t="s">
        <v>34</v>
      </c>
      <c r="G2" s="51" t="s">
        <v>5</v>
      </c>
    </row>
    <row r="3" spans="1:7" ht="21" customHeight="1" x14ac:dyDescent="0.35">
      <c r="A3" s="49"/>
      <c r="B3" s="9"/>
      <c r="C3" s="9"/>
      <c r="D3" s="53"/>
      <c r="E3" s="53"/>
      <c r="F3" s="53"/>
      <c r="G3" s="8"/>
    </row>
    <row r="4" spans="1:7" ht="21" customHeight="1" x14ac:dyDescent="0.35">
      <c r="A4" s="49"/>
      <c r="B4" s="9"/>
      <c r="C4" s="8"/>
      <c r="D4" s="53"/>
      <c r="E4" s="53"/>
      <c r="F4" s="53"/>
      <c r="G4" s="8"/>
    </row>
    <row r="5" spans="1:7" ht="21" customHeight="1" x14ac:dyDescent="0.35">
      <c r="A5" s="48"/>
      <c r="B5" s="9"/>
      <c r="C5" s="8"/>
      <c r="D5" s="53"/>
      <c r="E5" s="53"/>
      <c r="F5" s="53"/>
      <c r="G5" s="8"/>
    </row>
    <row r="6" spans="1:7" ht="21" customHeight="1" x14ac:dyDescent="0.35">
      <c r="A6" s="48"/>
      <c r="B6" s="9"/>
      <c r="C6" s="8"/>
      <c r="D6" s="53"/>
      <c r="E6" s="53"/>
      <c r="F6" s="53"/>
      <c r="G6" s="8"/>
    </row>
    <row r="7" spans="1:7" ht="21" customHeight="1" x14ac:dyDescent="0.35">
      <c r="A7" s="48"/>
      <c r="B7" s="9"/>
      <c r="C7" s="8"/>
      <c r="D7" s="53"/>
      <c r="E7" s="53"/>
      <c r="F7" s="53"/>
      <c r="G7" s="8"/>
    </row>
    <row r="8" spans="1:7" ht="21" customHeight="1" x14ac:dyDescent="0.35">
      <c r="A8" s="48"/>
      <c r="B8" s="9"/>
      <c r="C8" s="8"/>
      <c r="D8" s="53"/>
      <c r="E8" s="53"/>
      <c r="F8" s="53"/>
      <c r="G8" s="8"/>
    </row>
    <row r="9" spans="1:7" ht="21" customHeight="1" x14ac:dyDescent="0.35">
      <c r="A9" s="8"/>
      <c r="B9" s="9"/>
      <c r="C9" s="8"/>
      <c r="D9" s="53"/>
      <c r="E9" s="53"/>
      <c r="F9" s="53"/>
      <c r="G9" s="8"/>
    </row>
    <row r="10" spans="1:7" ht="21" customHeight="1" x14ac:dyDescent="0.35">
      <c r="A10" s="8"/>
      <c r="B10" s="9"/>
      <c r="C10" s="8"/>
      <c r="D10" s="53"/>
      <c r="E10" s="53"/>
      <c r="F10" s="53"/>
      <c r="G10" s="8"/>
    </row>
    <row r="11" spans="1:7" ht="21" customHeight="1" x14ac:dyDescent="0.35">
      <c r="A11" s="8"/>
      <c r="B11" s="9"/>
      <c r="C11" s="8"/>
      <c r="D11" s="53"/>
      <c r="E11" s="53"/>
      <c r="F11" s="53"/>
      <c r="G11" s="8"/>
    </row>
    <row r="12" spans="1:7" ht="21" customHeight="1" x14ac:dyDescent="0.35">
      <c r="A12" s="8"/>
      <c r="B12" s="9"/>
      <c r="C12" s="8"/>
      <c r="D12" s="53"/>
      <c r="E12" s="53"/>
      <c r="F12" s="53"/>
      <c r="G12" s="8"/>
    </row>
    <row r="13" spans="1:7" ht="21" customHeight="1" x14ac:dyDescent="0.35">
      <c r="A13" s="8"/>
      <c r="B13" s="9"/>
      <c r="C13" s="8"/>
      <c r="D13" s="53"/>
      <c r="E13" s="53"/>
      <c r="F13" s="53"/>
      <c r="G13" s="8"/>
    </row>
    <row r="14" spans="1:7" ht="21" customHeight="1" x14ac:dyDescent="0.35">
      <c r="A14" s="8"/>
      <c r="B14" s="9"/>
      <c r="C14" s="8"/>
      <c r="D14" s="53"/>
      <c r="E14" s="53"/>
      <c r="F14" s="53"/>
      <c r="G14" s="8"/>
    </row>
    <row r="15" spans="1:7" ht="21" customHeight="1" x14ac:dyDescent="0.35">
      <c r="A15" s="8"/>
      <c r="B15" s="9"/>
      <c r="C15" s="8"/>
      <c r="D15" s="53"/>
      <c r="E15" s="53"/>
      <c r="F15" s="53"/>
      <c r="G15" s="8"/>
    </row>
    <row r="16" spans="1:7" ht="21" customHeight="1" x14ac:dyDescent="0.35">
      <c r="A16" s="57"/>
      <c r="B16" s="58"/>
      <c r="C16" s="57" t="s">
        <v>40</v>
      </c>
      <c r="D16" s="59"/>
      <c r="E16" s="59">
        <f>SUM(E4:E15)</f>
        <v>0</v>
      </c>
      <c r="F16" s="59"/>
      <c r="G16" s="57"/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23</vt:i4>
      </vt:variant>
      <vt:variant>
        <vt:lpstr>ช่วงที่มีชื่อ</vt:lpstr>
      </vt:variant>
      <vt:variant>
        <vt:i4>2</vt:i4>
      </vt:variant>
    </vt:vector>
  </HeadingPairs>
  <TitlesOfParts>
    <vt:vector size="25" baseType="lpstr">
      <vt:lpstr>คชจ.ล่าสุด</vt:lpstr>
      <vt:lpstr>งบบำรุงการศึกษา</vt:lpstr>
      <vt:lpstr>งบลงทุน</vt:lpstr>
      <vt:lpstr>ค่าตอบแทนพนักงานราชการ</vt:lpstr>
      <vt:lpstr>ประกันสังคม พรก.</vt:lpstr>
      <vt:lpstr>งบดำเนินงาน ปวช.</vt:lpstr>
      <vt:lpstr>งบดำเนินงาน ปวส.</vt:lpstr>
      <vt:lpstr>ปวส.-ค่าน้ำมัน</vt:lpstr>
      <vt:lpstr>ปวส.-ไปราชการ</vt:lpstr>
      <vt:lpstr>งบดำเนินงาน ระยะสั้น</vt:lpstr>
      <vt:lpstr>ค่าสาธารณูปโภค</vt:lpstr>
      <vt:lpstr>งบอุดหนุนจัดการเรียนการสอน 68</vt:lpstr>
      <vt:lpstr>อุดหนุนจัดการเรียนการสอน 2569</vt:lpstr>
      <vt:lpstr>กิจกรรมพัฒนาผู้เรียน 68</vt:lpstr>
      <vt:lpstr>กิจกรรมพัฒนาผู้เรียน 2569</vt:lpstr>
      <vt:lpstr>ค่าหนังสือเรียน</vt:lpstr>
      <vt:lpstr>ค่าอุปกรณ์การเรียน</vt:lpstr>
      <vt:lpstr>ค่าเครื่องแบบนักเรียน</vt:lpstr>
      <vt:lpstr>ค่าอุปกรณ์นักเรียนสายอาชีพ</vt:lpstr>
      <vt:lpstr>โครงการเร่งประสิทธิภาพการสอนครู</vt:lpstr>
      <vt:lpstr>โครงการจัดหาบุคลากรสนับสนุน</vt:lpstr>
      <vt:lpstr>โครงการศูนย์บ่มเพาะ</vt:lpstr>
      <vt:lpstr>โครงการพิเศษ</vt:lpstr>
      <vt:lpstr>'งบดำเนินงาน ปวช.'!Print_Titles</vt:lpstr>
      <vt:lpstr>'ปวส.-ไปราชการ'!Print_Titles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4300</dc:creator>
  <cp:lastModifiedBy>ThinkCentre</cp:lastModifiedBy>
  <cp:lastPrinted>2025-11-03T04:29:18Z</cp:lastPrinted>
  <dcterms:created xsi:type="dcterms:W3CDTF">2016-02-02T08:26:31Z</dcterms:created>
  <dcterms:modified xsi:type="dcterms:W3CDTF">2025-12-15T04:14:26Z</dcterms:modified>
</cp:coreProperties>
</file>