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อกสารจากเครื่องเดิม HP\2.สรุปค่าใช้จ่ายประจำปี\Budget\"/>
    </mc:Choice>
  </mc:AlternateContent>
  <xr:revisionPtr revIDLastSave="0" documentId="13_ncr:1_{4BA6B1A3-6E6E-4892-8699-DEA39FFCBCFA}" xr6:coauthVersionLast="47" xr6:coauthVersionMax="47" xr10:uidLastSave="{00000000-0000-0000-0000-000000000000}"/>
  <bookViews>
    <workbookView xWindow="-120" yWindow="-120" windowWidth="29040" windowHeight="15720" tabRatio="892" activeTab="2" xr2:uid="{00000000-000D-0000-FFFF-FFFF00000000}"/>
  </bookViews>
  <sheets>
    <sheet name="Note" sheetId="2" r:id="rId1"/>
    <sheet name="ประมาณการายจ่าย" sheetId="1" r:id="rId2"/>
    <sheet name="งปม.เข้า" sheetId="3" r:id="rId3"/>
    <sheet name="จัดสรร งปม." sheetId="4" r:id="rId4"/>
    <sheet name="101" sheetId="5" r:id="rId5"/>
    <sheet name="102" sheetId="6" r:id="rId6"/>
    <sheet name="103" sheetId="7" r:id="rId7"/>
    <sheet name="104" sheetId="8" r:id="rId8"/>
    <sheet name="105" sheetId="9" r:id="rId9"/>
    <sheet name="201" sheetId="10" r:id="rId10"/>
    <sheet name="202" sheetId="11" r:id="rId11"/>
    <sheet name="203" sheetId="12" r:id="rId12"/>
    <sheet name="204" sheetId="13" r:id="rId13"/>
    <sheet name="205" sheetId="14" r:id="rId14"/>
    <sheet name="206" sheetId="15" r:id="rId15"/>
    <sheet name="207" sheetId="16" r:id="rId16"/>
    <sheet name="208" sheetId="17" r:id="rId17"/>
    <sheet name="209" sheetId="18" r:id="rId18"/>
    <sheet name="210" sheetId="19" r:id="rId19"/>
    <sheet name="211" sheetId="20" r:id="rId20"/>
    <sheet name="212" sheetId="21" r:id="rId21"/>
    <sheet name="213" sheetId="22" r:id="rId22"/>
    <sheet name="214" sheetId="23" r:id="rId23"/>
    <sheet name="301" sheetId="24" r:id="rId24"/>
    <sheet name="302" sheetId="25" r:id="rId25"/>
    <sheet name="303" sheetId="26" r:id="rId26"/>
    <sheet name="304" sheetId="27" r:id="rId27"/>
    <sheet name="305" sheetId="28" r:id="rId28"/>
    <sheet name="306" sheetId="29" r:id="rId29"/>
    <sheet name="307" sheetId="30" r:id="rId30"/>
    <sheet name="308" sheetId="31" r:id="rId31"/>
    <sheet name="309" sheetId="32" r:id="rId32"/>
    <sheet name="310" sheetId="33" r:id="rId33"/>
    <sheet name="311" sheetId="34" r:id="rId34"/>
    <sheet name="312" sheetId="35" r:id="rId35"/>
    <sheet name="313" sheetId="36" r:id="rId36"/>
    <sheet name="314" sheetId="37" r:id="rId37"/>
    <sheet name="401" sheetId="38" r:id="rId38"/>
    <sheet name="402" sheetId="39" r:id="rId39"/>
    <sheet name="403" sheetId="40" r:id="rId40"/>
    <sheet name="404" sheetId="41" r:id="rId41"/>
    <sheet name="405" sheetId="42" r:id="rId42"/>
    <sheet name="406" sheetId="43" r:id="rId43"/>
    <sheet name="407" sheetId="44" r:id="rId44"/>
    <sheet name="408" sheetId="45" r:id="rId45"/>
    <sheet name="409" sheetId="46" r:id="rId46"/>
    <sheet name="410" sheetId="47" r:id="rId47"/>
    <sheet name="411" sheetId="48" r:id="rId48"/>
    <sheet name="412" sheetId="49" r:id="rId49"/>
    <sheet name="413" sheetId="50" r:id="rId50"/>
    <sheet name="414" sheetId="51" r:id="rId51"/>
    <sheet name="415" sheetId="52" r:id="rId52"/>
    <sheet name="416" sheetId="53" r:id="rId53"/>
    <sheet name="417" sheetId="54" r:id="rId54"/>
    <sheet name="501" sheetId="55" r:id="rId55"/>
    <sheet name="502" sheetId="56" r:id="rId56"/>
    <sheet name="503" sheetId="57" r:id="rId57"/>
    <sheet name="504" sheetId="58" r:id="rId58"/>
    <sheet name="505" sheetId="59" r:id="rId59"/>
    <sheet name="506" sheetId="60" r:id="rId60"/>
    <sheet name="507" sheetId="61" r:id="rId61"/>
    <sheet name="508" sheetId="62" r:id="rId62"/>
    <sheet name="601" sheetId="63" r:id="rId63"/>
    <sheet name="602" sheetId="64" r:id="rId64"/>
    <sheet name="603" sheetId="65" r:id="rId65"/>
    <sheet name="604" sheetId="66" r:id="rId66"/>
    <sheet name="605" sheetId="67" r:id="rId67"/>
    <sheet name="606" sheetId="68" r:id="rId68"/>
    <sheet name="607" sheetId="69" r:id="rId69"/>
    <sheet name="608" sheetId="70" r:id="rId70"/>
    <sheet name="609" sheetId="71" r:id="rId71"/>
    <sheet name="610" sheetId="72" r:id="rId72"/>
    <sheet name="701" sheetId="73" r:id="rId73"/>
    <sheet name="702" sheetId="74" r:id="rId74"/>
    <sheet name="703" sheetId="75" r:id="rId75"/>
    <sheet name="704" sheetId="76" r:id="rId76"/>
    <sheet name="705" sheetId="77" r:id="rId77"/>
    <sheet name="801" sheetId="78" r:id="rId78"/>
    <sheet name="802" sheetId="79" r:id="rId79"/>
    <sheet name="803" sheetId="80" r:id="rId80"/>
    <sheet name="804" sheetId="81" r:id="rId81"/>
    <sheet name="805" sheetId="82" r:id="rId82"/>
    <sheet name="806" sheetId="83" r:id="rId83"/>
    <sheet name="807" sheetId="84" r:id="rId84"/>
    <sheet name="808" sheetId="85" r:id="rId85"/>
    <sheet name="809" sheetId="86" r:id="rId86"/>
    <sheet name="810" sheetId="87" r:id="rId87"/>
    <sheet name="901" sheetId="88" r:id="rId88"/>
    <sheet name="902" sheetId="89" r:id="rId89"/>
    <sheet name="903" sheetId="90" r:id="rId90"/>
    <sheet name="904" sheetId="91" r:id="rId91"/>
    <sheet name="905" sheetId="92" r:id="rId92"/>
    <sheet name="906" sheetId="93" r:id="rId93"/>
    <sheet name="907" sheetId="94" r:id="rId94"/>
    <sheet name="908" sheetId="95" r:id="rId95"/>
    <sheet name="909" sheetId="96" r:id="rId96"/>
    <sheet name="910" sheetId="97" r:id="rId97"/>
    <sheet name="911" sheetId="98" r:id="rId98"/>
    <sheet name="912" sheetId="99" r:id="rId99"/>
    <sheet name="913" sheetId="100" r:id="rId100"/>
    <sheet name="914" sheetId="101" r:id="rId101"/>
    <sheet name="915" sheetId="102" r:id="rId102"/>
    <sheet name="916" sheetId="103" r:id="rId103"/>
    <sheet name="917" sheetId="104" r:id="rId104"/>
    <sheet name="918" sheetId="105" r:id="rId105"/>
    <sheet name="919" sheetId="106" r:id="rId106"/>
    <sheet name="920" sheetId="107" r:id="rId10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4" l="1"/>
  <c r="Q57" i="3" l="1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F4" i="3"/>
  <c r="G4" i="3"/>
  <c r="H4" i="3"/>
  <c r="I4" i="3"/>
  <c r="J4" i="3"/>
  <c r="K4" i="3"/>
  <c r="L4" i="3"/>
  <c r="M4" i="3"/>
  <c r="N4" i="3"/>
  <c r="O4" i="3"/>
  <c r="P4" i="3"/>
  <c r="E4" i="3"/>
  <c r="C8" i="45" l="1"/>
  <c r="E5" i="107"/>
  <c r="F5" i="107"/>
  <c r="G5" i="107"/>
  <c r="H5" i="107"/>
  <c r="I5" i="107"/>
  <c r="J5" i="107"/>
  <c r="J7" i="107" s="1"/>
  <c r="K5" i="107"/>
  <c r="L5" i="107"/>
  <c r="M5" i="107"/>
  <c r="N5" i="107"/>
  <c r="O5" i="107"/>
  <c r="P5" i="107"/>
  <c r="C9" i="107"/>
  <c r="C8" i="107"/>
  <c r="E5" i="106"/>
  <c r="F5" i="106"/>
  <c r="G5" i="106"/>
  <c r="G7" i="106" s="1"/>
  <c r="H5" i="106"/>
  <c r="I5" i="106"/>
  <c r="I7" i="106" s="1"/>
  <c r="J5" i="106"/>
  <c r="K5" i="106"/>
  <c r="L5" i="106"/>
  <c r="M5" i="106"/>
  <c r="N5" i="106"/>
  <c r="N7" i="106" s="1"/>
  <c r="O5" i="106"/>
  <c r="P5" i="106"/>
  <c r="P7" i="106" s="1"/>
  <c r="C9" i="106"/>
  <c r="C8" i="106"/>
  <c r="E5" i="105"/>
  <c r="F5" i="105"/>
  <c r="F7" i="105" s="1"/>
  <c r="G5" i="105"/>
  <c r="H5" i="105"/>
  <c r="I5" i="105"/>
  <c r="J5" i="105"/>
  <c r="K5" i="105"/>
  <c r="L5" i="105"/>
  <c r="M5" i="105"/>
  <c r="M7" i="105" s="1"/>
  <c r="N5" i="105"/>
  <c r="O5" i="105"/>
  <c r="P5" i="105"/>
  <c r="P7" i="105" s="1"/>
  <c r="C9" i="105"/>
  <c r="C8" i="105"/>
  <c r="E5" i="104"/>
  <c r="F5" i="104"/>
  <c r="G5" i="104"/>
  <c r="H5" i="104"/>
  <c r="I5" i="104"/>
  <c r="J5" i="104"/>
  <c r="J7" i="104" s="1"/>
  <c r="K5" i="104"/>
  <c r="L5" i="104"/>
  <c r="L7" i="104" s="1"/>
  <c r="M5" i="104"/>
  <c r="M7" i="104" s="1"/>
  <c r="N5" i="104"/>
  <c r="N7" i="104" s="1"/>
  <c r="O5" i="104"/>
  <c r="P5" i="104"/>
  <c r="C9" i="104"/>
  <c r="C8" i="104"/>
  <c r="E5" i="103"/>
  <c r="F5" i="103"/>
  <c r="G5" i="103"/>
  <c r="G7" i="103" s="1"/>
  <c r="H5" i="103"/>
  <c r="I5" i="103"/>
  <c r="I7" i="103" s="1"/>
  <c r="J5" i="103"/>
  <c r="J7" i="103" s="1"/>
  <c r="K5" i="103"/>
  <c r="K7" i="103" s="1"/>
  <c r="L5" i="103"/>
  <c r="M5" i="103"/>
  <c r="N5" i="103"/>
  <c r="O5" i="103"/>
  <c r="P5" i="103"/>
  <c r="C9" i="103"/>
  <c r="C8" i="103"/>
  <c r="E5" i="102"/>
  <c r="F5" i="102"/>
  <c r="F7" i="102" s="1"/>
  <c r="G5" i="102"/>
  <c r="G7" i="102" s="1"/>
  <c r="H5" i="102"/>
  <c r="H7" i="102" s="1"/>
  <c r="I5" i="102"/>
  <c r="I7" i="102" s="1"/>
  <c r="J5" i="102"/>
  <c r="K5" i="102"/>
  <c r="L5" i="102"/>
  <c r="M5" i="102"/>
  <c r="N5" i="102"/>
  <c r="O5" i="102"/>
  <c r="P5" i="102"/>
  <c r="P7" i="102" s="1"/>
  <c r="C9" i="102"/>
  <c r="C8" i="102"/>
  <c r="E5" i="101"/>
  <c r="F5" i="101"/>
  <c r="F7" i="101" s="1"/>
  <c r="G5" i="101"/>
  <c r="H5" i="101"/>
  <c r="I5" i="101"/>
  <c r="J5" i="101"/>
  <c r="K5" i="101"/>
  <c r="L5" i="101"/>
  <c r="M5" i="101"/>
  <c r="N5" i="101"/>
  <c r="O5" i="101"/>
  <c r="P5" i="101"/>
  <c r="P7" i="101" s="1"/>
  <c r="C9" i="101"/>
  <c r="C8" i="101"/>
  <c r="E5" i="100"/>
  <c r="F5" i="100"/>
  <c r="G5" i="100"/>
  <c r="H5" i="100"/>
  <c r="I5" i="100"/>
  <c r="J5" i="100"/>
  <c r="J7" i="100" s="1"/>
  <c r="K5" i="100"/>
  <c r="L5" i="100"/>
  <c r="L7" i="100" s="1"/>
  <c r="M5" i="100"/>
  <c r="N5" i="100"/>
  <c r="N7" i="100" s="1"/>
  <c r="O5" i="100"/>
  <c r="P5" i="100"/>
  <c r="C9" i="100"/>
  <c r="C8" i="100"/>
  <c r="E5" i="99"/>
  <c r="F5" i="99"/>
  <c r="G5" i="99"/>
  <c r="G7" i="99" s="1"/>
  <c r="H5" i="99"/>
  <c r="I5" i="99"/>
  <c r="J5" i="99"/>
  <c r="J7" i="99" s="1"/>
  <c r="K5" i="99"/>
  <c r="K7" i="99" s="1"/>
  <c r="L5" i="99"/>
  <c r="M5" i="99"/>
  <c r="N5" i="99"/>
  <c r="O5" i="99"/>
  <c r="P5" i="99"/>
  <c r="C9" i="99"/>
  <c r="C8" i="99"/>
  <c r="E5" i="98"/>
  <c r="F5" i="98"/>
  <c r="G5" i="98"/>
  <c r="G7" i="98" s="1"/>
  <c r="H5" i="98"/>
  <c r="H7" i="98" s="1"/>
  <c r="I5" i="98"/>
  <c r="J5" i="98"/>
  <c r="K5" i="98"/>
  <c r="L5" i="98"/>
  <c r="M5" i="98"/>
  <c r="N5" i="98"/>
  <c r="N7" i="98" s="1"/>
  <c r="O5" i="98"/>
  <c r="P5" i="98"/>
  <c r="P7" i="98" s="1"/>
  <c r="C9" i="98"/>
  <c r="C8" i="98"/>
  <c r="E5" i="97"/>
  <c r="F5" i="97"/>
  <c r="F7" i="97" s="1"/>
  <c r="G5" i="97"/>
  <c r="H5" i="97"/>
  <c r="I5" i="97"/>
  <c r="J5" i="97"/>
  <c r="K5" i="97"/>
  <c r="L5" i="97"/>
  <c r="M5" i="97"/>
  <c r="N5" i="97"/>
  <c r="O5" i="97"/>
  <c r="P5" i="97"/>
  <c r="P7" i="97" s="1"/>
  <c r="C9" i="97"/>
  <c r="C8" i="97"/>
  <c r="E5" i="96"/>
  <c r="F5" i="96"/>
  <c r="G5" i="96"/>
  <c r="H5" i="96"/>
  <c r="H7" i="96" s="1"/>
  <c r="I5" i="96"/>
  <c r="J5" i="96"/>
  <c r="J7" i="96" s="1"/>
  <c r="K5" i="96"/>
  <c r="L5" i="96"/>
  <c r="M5" i="96"/>
  <c r="M7" i="96" s="1"/>
  <c r="N5" i="96"/>
  <c r="O5" i="96"/>
  <c r="O7" i="96" s="1"/>
  <c r="P5" i="96"/>
  <c r="C9" i="96"/>
  <c r="C8" i="96"/>
  <c r="E5" i="95"/>
  <c r="E7" i="95" s="1"/>
  <c r="F5" i="95"/>
  <c r="G5" i="95"/>
  <c r="G7" i="95" s="1"/>
  <c r="H5" i="95"/>
  <c r="I5" i="95"/>
  <c r="J5" i="95"/>
  <c r="J7" i="95" s="1"/>
  <c r="K5" i="95"/>
  <c r="K7" i="95" s="1"/>
  <c r="L5" i="95"/>
  <c r="L7" i="95" s="1"/>
  <c r="M5" i="95"/>
  <c r="N5" i="95"/>
  <c r="O5" i="95"/>
  <c r="P5" i="95"/>
  <c r="C9" i="95"/>
  <c r="C8" i="95"/>
  <c r="E5" i="94"/>
  <c r="F5" i="94"/>
  <c r="F7" i="94" s="1"/>
  <c r="G5" i="94"/>
  <c r="H5" i="94"/>
  <c r="I5" i="94"/>
  <c r="J5" i="94"/>
  <c r="K5" i="94"/>
  <c r="L5" i="94"/>
  <c r="M5" i="94"/>
  <c r="N5" i="94"/>
  <c r="O5" i="94"/>
  <c r="P5" i="94"/>
  <c r="P7" i="94" s="1"/>
  <c r="C9" i="94"/>
  <c r="C8" i="94"/>
  <c r="E5" i="93"/>
  <c r="F5" i="93"/>
  <c r="G5" i="93"/>
  <c r="H5" i="93"/>
  <c r="I5" i="93"/>
  <c r="J5" i="93"/>
  <c r="K5" i="93"/>
  <c r="L5" i="93"/>
  <c r="M5" i="93"/>
  <c r="M7" i="93" s="1"/>
  <c r="N5" i="93"/>
  <c r="O5" i="93"/>
  <c r="P5" i="93"/>
  <c r="P7" i="93" s="1"/>
  <c r="C9" i="93"/>
  <c r="C8" i="93"/>
  <c r="E5" i="92"/>
  <c r="F5" i="92"/>
  <c r="G5" i="92"/>
  <c r="H5" i="92"/>
  <c r="H7" i="92" s="1"/>
  <c r="I5" i="92"/>
  <c r="J5" i="92"/>
  <c r="J7" i="92" s="1"/>
  <c r="K5" i="92"/>
  <c r="L5" i="92"/>
  <c r="L7" i="92" s="1"/>
  <c r="M5" i="92"/>
  <c r="M7" i="92" s="1"/>
  <c r="N5" i="92"/>
  <c r="N7" i="92" s="1"/>
  <c r="O5" i="92"/>
  <c r="O7" i="92" s="1"/>
  <c r="P5" i="92"/>
  <c r="C9" i="92"/>
  <c r="C8" i="92"/>
  <c r="E5" i="91"/>
  <c r="F5" i="91"/>
  <c r="G5" i="91"/>
  <c r="G7" i="91" s="1"/>
  <c r="H5" i="91"/>
  <c r="I5" i="91"/>
  <c r="I7" i="91" s="1"/>
  <c r="J5" i="91"/>
  <c r="J7" i="91" s="1"/>
  <c r="K5" i="91"/>
  <c r="K7" i="91" s="1"/>
  <c r="L5" i="91"/>
  <c r="M5" i="91"/>
  <c r="N5" i="91"/>
  <c r="O5" i="91"/>
  <c r="P5" i="91"/>
  <c r="C9" i="91"/>
  <c r="C8" i="91"/>
  <c r="E5" i="90"/>
  <c r="F5" i="90"/>
  <c r="G5" i="90"/>
  <c r="H5" i="90"/>
  <c r="I5" i="90"/>
  <c r="J5" i="90"/>
  <c r="K5" i="90"/>
  <c r="L5" i="90"/>
  <c r="M5" i="90"/>
  <c r="N5" i="90"/>
  <c r="O5" i="90"/>
  <c r="P5" i="90"/>
  <c r="C9" i="90"/>
  <c r="C8" i="90"/>
  <c r="E5" i="89"/>
  <c r="F5" i="89"/>
  <c r="F7" i="89" s="1"/>
  <c r="G5" i="89"/>
  <c r="H5" i="89"/>
  <c r="I5" i="89"/>
  <c r="J5" i="89"/>
  <c r="K5" i="89"/>
  <c r="L5" i="89"/>
  <c r="M5" i="89"/>
  <c r="M7" i="89" s="1"/>
  <c r="N5" i="89"/>
  <c r="O5" i="89"/>
  <c r="O7" i="89" s="1"/>
  <c r="P5" i="89"/>
  <c r="P7" i="89" s="1"/>
  <c r="C9" i="89"/>
  <c r="C8" i="89"/>
  <c r="E5" i="88"/>
  <c r="F5" i="88"/>
  <c r="G5" i="88"/>
  <c r="H5" i="88"/>
  <c r="H7" i="88" s="1"/>
  <c r="I5" i="88"/>
  <c r="J5" i="88"/>
  <c r="J7" i="88" s="1"/>
  <c r="K5" i="88"/>
  <c r="L5" i="88"/>
  <c r="L7" i="88" s="1"/>
  <c r="M5" i="88"/>
  <c r="M7" i="88" s="1"/>
  <c r="N5" i="88"/>
  <c r="N7" i="88" s="1"/>
  <c r="O5" i="88"/>
  <c r="O7" i="88" s="1"/>
  <c r="P5" i="88"/>
  <c r="C9" i="88"/>
  <c r="C8" i="88"/>
  <c r="Q45" i="107"/>
  <c r="Q44" i="107"/>
  <c r="Q43" i="107"/>
  <c r="Q42" i="107"/>
  <c r="Q41" i="107"/>
  <c r="Q40" i="107"/>
  <c r="Q39" i="107"/>
  <c r="Q38" i="107"/>
  <c r="Q37" i="107"/>
  <c r="Q36" i="107"/>
  <c r="Q35" i="107"/>
  <c r="Q34" i="107"/>
  <c r="Q33" i="107"/>
  <c r="Q32" i="107"/>
  <c r="Q31" i="107"/>
  <c r="Q30" i="107"/>
  <c r="Q29" i="107"/>
  <c r="Q28" i="107"/>
  <c r="Q27" i="107"/>
  <c r="Q26" i="107"/>
  <c r="Q25" i="107"/>
  <c r="Q24" i="107"/>
  <c r="Q23" i="107"/>
  <c r="Q22" i="107"/>
  <c r="Q21" i="107"/>
  <c r="Q20" i="107"/>
  <c r="Q19" i="107"/>
  <c r="Q18" i="107"/>
  <c r="Q17" i="107"/>
  <c r="Q16" i="107"/>
  <c r="Q15" i="107"/>
  <c r="Q14" i="107"/>
  <c r="Q13" i="107"/>
  <c r="Q12" i="107"/>
  <c r="Q11" i="107"/>
  <c r="Q6" i="107" s="1"/>
  <c r="Q120" i="4" s="1"/>
  <c r="P6" i="107"/>
  <c r="O6" i="107"/>
  <c r="N6" i="107"/>
  <c r="M6" i="107"/>
  <c r="M7" i="107" s="1"/>
  <c r="L6" i="107"/>
  <c r="K6" i="107"/>
  <c r="J6" i="107"/>
  <c r="I6" i="107"/>
  <c r="I7" i="107" s="1"/>
  <c r="H6" i="107"/>
  <c r="G6" i="107"/>
  <c r="F6" i="107"/>
  <c r="E6" i="107"/>
  <c r="P7" i="107"/>
  <c r="N7" i="107"/>
  <c r="L7" i="107"/>
  <c r="H7" i="107"/>
  <c r="F7" i="107"/>
  <c r="E2" i="107"/>
  <c r="Q45" i="106"/>
  <c r="Q44" i="106"/>
  <c r="Q43" i="106"/>
  <c r="Q42" i="106"/>
  <c r="Q41" i="106"/>
  <c r="Q40" i="106"/>
  <c r="Q39" i="106"/>
  <c r="Q38" i="106"/>
  <c r="Q37" i="106"/>
  <c r="Q36" i="106"/>
  <c r="Q35" i="106"/>
  <c r="Q34" i="106"/>
  <c r="Q33" i="106"/>
  <c r="Q32" i="106"/>
  <c r="Q31" i="106"/>
  <c r="Q30" i="106"/>
  <c r="Q29" i="106"/>
  <c r="Q28" i="106"/>
  <c r="Q27" i="106"/>
  <c r="Q26" i="106"/>
  <c r="Q25" i="106"/>
  <c r="Q24" i="106"/>
  <c r="Q23" i="106"/>
  <c r="Q22" i="106"/>
  <c r="Q21" i="106"/>
  <c r="Q20" i="106"/>
  <c r="Q19" i="106"/>
  <c r="Q18" i="106"/>
  <c r="Q17" i="106"/>
  <c r="Q16" i="106"/>
  <c r="Q15" i="106"/>
  <c r="Q14" i="106"/>
  <c r="Q13" i="106"/>
  <c r="Q12" i="106"/>
  <c r="Q6" i="106" s="1"/>
  <c r="Q119" i="4" s="1"/>
  <c r="Q11" i="106"/>
  <c r="P6" i="106"/>
  <c r="O6" i="106"/>
  <c r="N6" i="106"/>
  <c r="M6" i="106"/>
  <c r="L6" i="106"/>
  <c r="L7" i="106" s="1"/>
  <c r="K6" i="106"/>
  <c r="J6" i="106"/>
  <c r="J7" i="106" s="1"/>
  <c r="I6" i="106"/>
  <c r="H6" i="106"/>
  <c r="G6" i="106"/>
  <c r="F6" i="106"/>
  <c r="F7" i="106" s="1"/>
  <c r="E6" i="106"/>
  <c r="O7" i="106"/>
  <c r="K7" i="106"/>
  <c r="H7" i="106"/>
  <c r="E2" i="106"/>
  <c r="Q45" i="105"/>
  <c r="Q44" i="105"/>
  <c r="Q43" i="105"/>
  <c r="Q42" i="105"/>
  <c r="Q41" i="105"/>
  <c r="Q40" i="105"/>
  <c r="Q39" i="105"/>
  <c r="Q38" i="105"/>
  <c r="Q37" i="105"/>
  <c r="Q36" i="105"/>
  <c r="Q35" i="105"/>
  <c r="Q34" i="105"/>
  <c r="Q33" i="105"/>
  <c r="Q32" i="105"/>
  <c r="Q31" i="105"/>
  <c r="Q30" i="105"/>
  <c r="Q29" i="105"/>
  <c r="Q28" i="105"/>
  <c r="Q27" i="105"/>
  <c r="Q26" i="105"/>
  <c r="Q25" i="105"/>
  <c r="Q24" i="105"/>
  <c r="Q23" i="105"/>
  <c r="Q22" i="105"/>
  <c r="Q21" i="105"/>
  <c r="Q20" i="105"/>
  <c r="Q19" i="105"/>
  <c r="Q18" i="105"/>
  <c r="Q17" i="105"/>
  <c r="Q16" i="105"/>
  <c r="Q15" i="105"/>
  <c r="Q14" i="105"/>
  <c r="Q13" i="105"/>
  <c r="Q12" i="105"/>
  <c r="Q11" i="105"/>
  <c r="Q6" i="105"/>
  <c r="Q118" i="4" s="1"/>
  <c r="P6" i="105"/>
  <c r="O6" i="105"/>
  <c r="N6" i="105"/>
  <c r="M6" i="105"/>
  <c r="L6" i="105"/>
  <c r="K6" i="105"/>
  <c r="J6" i="105"/>
  <c r="I6" i="105"/>
  <c r="H6" i="105"/>
  <c r="G6" i="105"/>
  <c r="F6" i="105"/>
  <c r="E6" i="105"/>
  <c r="E7" i="105" s="1"/>
  <c r="O7" i="105"/>
  <c r="N7" i="105"/>
  <c r="L7" i="105"/>
  <c r="K7" i="105"/>
  <c r="J7" i="105"/>
  <c r="I7" i="105"/>
  <c r="H7" i="105"/>
  <c r="G7" i="105"/>
  <c r="E2" i="105"/>
  <c r="Q45" i="104"/>
  <c r="Q44" i="104"/>
  <c r="Q43" i="104"/>
  <c r="Q42" i="104"/>
  <c r="Q41" i="104"/>
  <c r="Q40" i="104"/>
  <c r="Q39" i="104"/>
  <c r="Q38" i="104"/>
  <c r="Q37" i="104"/>
  <c r="Q36" i="104"/>
  <c r="Q35" i="104"/>
  <c r="Q34" i="104"/>
  <c r="Q33" i="104"/>
  <c r="Q32" i="104"/>
  <c r="Q31" i="104"/>
  <c r="Q30" i="104"/>
  <c r="Q29" i="104"/>
  <c r="Q28" i="104"/>
  <c r="Q27" i="104"/>
  <c r="Q26" i="104"/>
  <c r="Q25" i="104"/>
  <c r="Q24" i="104"/>
  <c r="Q23" i="104"/>
  <c r="Q22" i="104"/>
  <c r="Q21" i="104"/>
  <c r="Q20" i="104"/>
  <c r="Q19" i="104"/>
  <c r="Q18" i="104"/>
  <c r="Q17" i="104"/>
  <c r="Q16" i="104"/>
  <c r="Q15" i="104"/>
  <c r="Q14" i="104"/>
  <c r="Q13" i="104"/>
  <c r="Q12" i="104"/>
  <c r="Q11" i="104"/>
  <c r="Q6" i="104"/>
  <c r="Q117" i="4" s="1"/>
  <c r="P6" i="104"/>
  <c r="O6" i="104"/>
  <c r="N6" i="104"/>
  <c r="M6" i="104"/>
  <c r="L6" i="104"/>
  <c r="K6" i="104"/>
  <c r="K7" i="104" s="1"/>
  <c r="J6" i="104"/>
  <c r="I6" i="104"/>
  <c r="H6" i="104"/>
  <c r="H7" i="104" s="1"/>
  <c r="G6" i="104"/>
  <c r="G7" i="104" s="1"/>
  <c r="F6" i="104"/>
  <c r="E6" i="104"/>
  <c r="E7" i="104" s="1"/>
  <c r="P7" i="104"/>
  <c r="O7" i="104"/>
  <c r="I7" i="104"/>
  <c r="E2" i="104"/>
  <c r="Q45" i="103"/>
  <c r="Q44" i="103"/>
  <c r="Q43" i="103"/>
  <c r="Q42" i="103"/>
  <c r="Q41" i="103"/>
  <c r="Q40" i="103"/>
  <c r="Q39" i="103"/>
  <c r="Q38" i="103"/>
  <c r="Q37" i="103"/>
  <c r="Q36" i="103"/>
  <c r="Q35" i="103"/>
  <c r="Q34" i="103"/>
  <c r="Q33" i="103"/>
  <c r="Q32" i="103"/>
  <c r="Q31" i="103"/>
  <c r="Q30" i="103"/>
  <c r="Q29" i="103"/>
  <c r="Q28" i="103"/>
  <c r="Q27" i="103"/>
  <c r="Q26" i="103"/>
  <c r="Q25" i="103"/>
  <c r="Q24" i="103"/>
  <c r="Q23" i="103"/>
  <c r="Q22" i="103"/>
  <c r="Q21" i="103"/>
  <c r="Q20" i="103"/>
  <c r="Q19" i="103"/>
  <c r="Q18" i="103"/>
  <c r="Q17" i="103"/>
  <c r="Q6" i="103" s="1"/>
  <c r="Q116" i="4" s="1"/>
  <c r="Q16" i="103"/>
  <c r="Q15" i="103"/>
  <c r="Q14" i="103"/>
  <c r="Q13" i="103"/>
  <c r="Q12" i="103"/>
  <c r="Q11" i="103"/>
  <c r="P6" i="103"/>
  <c r="O6" i="103"/>
  <c r="N6" i="103"/>
  <c r="M6" i="103"/>
  <c r="L6" i="103"/>
  <c r="K6" i="103"/>
  <c r="J6" i="103"/>
  <c r="I6" i="103"/>
  <c r="H6" i="103"/>
  <c r="G6" i="103"/>
  <c r="F6" i="103"/>
  <c r="E6" i="103"/>
  <c r="E7" i="103" s="1"/>
  <c r="P7" i="103"/>
  <c r="O7" i="103"/>
  <c r="N7" i="103"/>
  <c r="M7" i="103"/>
  <c r="L7" i="103"/>
  <c r="H7" i="103"/>
  <c r="F7" i="103"/>
  <c r="E2" i="103"/>
  <c r="Q45" i="102"/>
  <c r="Q44" i="102"/>
  <c r="Q43" i="102"/>
  <c r="Q42" i="102"/>
  <c r="Q41" i="102"/>
  <c r="Q40" i="102"/>
  <c r="Q39" i="102"/>
  <c r="Q38" i="102"/>
  <c r="Q37" i="102"/>
  <c r="Q36" i="102"/>
  <c r="Q35" i="102"/>
  <c r="Q34" i="102"/>
  <c r="Q33" i="102"/>
  <c r="Q32" i="102"/>
  <c r="Q31" i="102"/>
  <c r="Q30" i="102"/>
  <c r="Q29" i="102"/>
  <c r="Q28" i="102"/>
  <c r="Q27" i="102"/>
  <c r="Q26" i="102"/>
  <c r="Q25" i="102"/>
  <c r="Q24" i="102"/>
  <c r="Q23" i="102"/>
  <c r="Q22" i="102"/>
  <c r="Q21" i="102"/>
  <c r="Q20" i="102"/>
  <c r="Q19" i="102"/>
  <c r="Q18" i="102"/>
  <c r="Q17" i="102"/>
  <c r="Q6" i="102" s="1"/>
  <c r="Q115" i="4" s="1"/>
  <c r="Q16" i="102"/>
  <c r="Q15" i="102"/>
  <c r="Q14" i="102"/>
  <c r="Q13" i="102"/>
  <c r="Q12" i="102"/>
  <c r="Q11" i="102"/>
  <c r="P6" i="102"/>
  <c r="O6" i="102"/>
  <c r="N6" i="102"/>
  <c r="M6" i="102"/>
  <c r="L6" i="102"/>
  <c r="K6" i="102"/>
  <c r="J6" i="102"/>
  <c r="I6" i="102"/>
  <c r="H6" i="102"/>
  <c r="G6" i="102"/>
  <c r="F6" i="102"/>
  <c r="E6" i="102"/>
  <c r="O7" i="102"/>
  <c r="N7" i="102"/>
  <c r="M7" i="102"/>
  <c r="L7" i="102"/>
  <c r="K7" i="102"/>
  <c r="J7" i="102"/>
  <c r="E2" i="102"/>
  <c r="Q45" i="101"/>
  <c r="Q44" i="101"/>
  <c r="Q43" i="101"/>
  <c r="Q42" i="101"/>
  <c r="Q41" i="101"/>
  <c r="Q40" i="101"/>
  <c r="Q39" i="101"/>
  <c r="Q38" i="101"/>
  <c r="Q37" i="101"/>
  <c r="Q36" i="101"/>
  <c r="Q35" i="101"/>
  <c r="Q34" i="101"/>
  <c r="Q33" i="101"/>
  <c r="Q32" i="101"/>
  <c r="Q31" i="101"/>
  <c r="Q30" i="101"/>
  <c r="Q29" i="101"/>
  <c r="Q28" i="101"/>
  <c r="Q27" i="101"/>
  <c r="Q26" i="101"/>
  <c r="Q25" i="101"/>
  <c r="Q24" i="101"/>
  <c r="Q23" i="101"/>
  <c r="Q22" i="101"/>
  <c r="Q21" i="101"/>
  <c r="Q20" i="101"/>
  <c r="Q19" i="101"/>
  <c r="Q18" i="101"/>
  <c r="Q17" i="101"/>
  <c r="Q6" i="101" s="1"/>
  <c r="Q114" i="4" s="1"/>
  <c r="Q16" i="101"/>
  <c r="Q15" i="101"/>
  <c r="Q14" i="101"/>
  <c r="Q13" i="101"/>
  <c r="Q12" i="101"/>
  <c r="Q11" i="101"/>
  <c r="P6" i="101"/>
  <c r="O6" i="101"/>
  <c r="N6" i="101"/>
  <c r="N7" i="101" s="1"/>
  <c r="M6" i="101"/>
  <c r="L6" i="101"/>
  <c r="L7" i="101" s="1"/>
  <c r="K6" i="101"/>
  <c r="J6" i="101"/>
  <c r="I6" i="101"/>
  <c r="H6" i="101"/>
  <c r="H7" i="101" s="1"/>
  <c r="G6" i="101"/>
  <c r="F6" i="101"/>
  <c r="E6" i="101"/>
  <c r="E7" i="101" s="1"/>
  <c r="M7" i="101"/>
  <c r="J7" i="101"/>
  <c r="I7" i="101"/>
  <c r="E2" i="101"/>
  <c r="Q45" i="100"/>
  <c r="Q44" i="100"/>
  <c r="Q43" i="100"/>
  <c r="Q42" i="100"/>
  <c r="Q41" i="100"/>
  <c r="Q40" i="100"/>
  <c r="Q39" i="100"/>
  <c r="Q38" i="100"/>
  <c r="Q37" i="100"/>
  <c r="Q36" i="100"/>
  <c r="Q35" i="100"/>
  <c r="Q34" i="100"/>
  <c r="Q33" i="100"/>
  <c r="Q32" i="100"/>
  <c r="Q31" i="100"/>
  <c r="Q30" i="100"/>
  <c r="Q29" i="100"/>
  <c r="Q28" i="100"/>
  <c r="Q27" i="100"/>
  <c r="Q26" i="100"/>
  <c r="Q25" i="100"/>
  <c r="Q24" i="100"/>
  <c r="Q23" i="100"/>
  <c r="Q22" i="100"/>
  <c r="Q21" i="100"/>
  <c r="Q20" i="100"/>
  <c r="Q19" i="100"/>
  <c r="Q18" i="100"/>
  <c r="Q17" i="100"/>
  <c r="Q16" i="100"/>
  <c r="Q15" i="100"/>
  <c r="Q14" i="100"/>
  <c r="Q13" i="100"/>
  <c r="Q6" i="100" s="1"/>
  <c r="Q113" i="4" s="1"/>
  <c r="Q12" i="100"/>
  <c r="Q11" i="100"/>
  <c r="P6" i="100"/>
  <c r="O6" i="100"/>
  <c r="N6" i="100"/>
  <c r="M6" i="100"/>
  <c r="L6" i="100"/>
  <c r="K6" i="100"/>
  <c r="J6" i="100"/>
  <c r="I6" i="100"/>
  <c r="H6" i="100"/>
  <c r="G6" i="100"/>
  <c r="F6" i="100"/>
  <c r="E6" i="100"/>
  <c r="E7" i="100" s="1"/>
  <c r="P7" i="100"/>
  <c r="M7" i="100"/>
  <c r="I7" i="100"/>
  <c r="H7" i="100"/>
  <c r="F7" i="100"/>
  <c r="E2" i="100"/>
  <c r="Q45" i="99"/>
  <c r="Q44" i="99"/>
  <c r="Q43" i="99"/>
  <c r="Q42" i="99"/>
  <c r="Q41" i="99"/>
  <c r="Q40" i="99"/>
  <c r="Q39" i="99"/>
  <c r="Q38" i="99"/>
  <c r="Q37" i="99"/>
  <c r="Q36" i="99"/>
  <c r="Q35" i="99"/>
  <c r="Q34" i="99"/>
  <c r="Q33" i="99"/>
  <c r="Q32" i="99"/>
  <c r="Q31" i="99"/>
  <c r="Q30" i="99"/>
  <c r="Q29" i="99"/>
  <c r="Q28" i="99"/>
  <c r="Q27" i="99"/>
  <c r="Q26" i="99"/>
  <c r="Q25" i="99"/>
  <c r="Q24" i="99"/>
  <c r="Q23" i="99"/>
  <c r="Q22" i="99"/>
  <c r="Q21" i="99"/>
  <c r="Q20" i="99"/>
  <c r="Q19" i="99"/>
  <c r="Q18" i="99"/>
  <c r="Q17" i="99"/>
  <c r="Q16" i="99"/>
  <c r="Q15" i="99"/>
  <c r="Q14" i="99"/>
  <c r="Q13" i="99"/>
  <c r="Q12" i="99"/>
  <c r="Q11" i="99"/>
  <c r="P6" i="99"/>
  <c r="O6" i="99"/>
  <c r="O7" i="99" s="1"/>
  <c r="N6" i="99"/>
  <c r="M6" i="99"/>
  <c r="M7" i="99" s="1"/>
  <c r="L6" i="99"/>
  <c r="K6" i="99"/>
  <c r="J6" i="99"/>
  <c r="I6" i="99"/>
  <c r="I7" i="99" s="1"/>
  <c r="H6" i="99"/>
  <c r="G6" i="99"/>
  <c r="F6" i="99"/>
  <c r="E6" i="99"/>
  <c r="P7" i="99"/>
  <c r="N7" i="99"/>
  <c r="L7" i="99"/>
  <c r="H7" i="99"/>
  <c r="F7" i="99"/>
  <c r="E7" i="99"/>
  <c r="E2" i="99"/>
  <c r="Q45" i="98"/>
  <c r="Q44" i="98"/>
  <c r="Q43" i="98"/>
  <c r="Q42" i="98"/>
  <c r="Q41" i="98"/>
  <c r="Q40" i="98"/>
  <c r="Q39" i="98"/>
  <c r="Q38" i="98"/>
  <c r="Q37" i="98"/>
  <c r="Q36" i="98"/>
  <c r="Q35" i="98"/>
  <c r="Q34" i="98"/>
  <c r="Q33" i="98"/>
  <c r="Q32" i="98"/>
  <c r="Q31" i="98"/>
  <c r="Q30" i="98"/>
  <c r="Q29" i="98"/>
  <c r="Q28" i="98"/>
  <c r="Q27" i="98"/>
  <c r="Q26" i="98"/>
  <c r="Q25" i="98"/>
  <c r="Q24" i="98"/>
  <c r="Q23" i="98"/>
  <c r="Q22" i="98"/>
  <c r="Q21" i="98"/>
  <c r="Q20" i="98"/>
  <c r="Q19" i="98"/>
  <c r="Q18" i="98"/>
  <c r="Q17" i="98"/>
  <c r="Q16" i="98"/>
  <c r="Q15" i="98"/>
  <c r="Q14" i="98"/>
  <c r="Q13" i="98"/>
  <c r="Q12" i="98"/>
  <c r="Q11" i="98"/>
  <c r="Q6" i="98" s="1"/>
  <c r="Q111" i="4" s="1"/>
  <c r="P6" i="98"/>
  <c r="O6" i="98"/>
  <c r="N6" i="98"/>
  <c r="M6" i="98"/>
  <c r="M7" i="98" s="1"/>
  <c r="L6" i="98"/>
  <c r="K6" i="98"/>
  <c r="J6" i="98"/>
  <c r="J7" i="98" s="1"/>
  <c r="I6" i="98"/>
  <c r="H6" i="98"/>
  <c r="G6" i="98"/>
  <c r="F6" i="98"/>
  <c r="F7" i="98" s="1"/>
  <c r="E6" i="98"/>
  <c r="L7" i="98"/>
  <c r="I7" i="98"/>
  <c r="E2" i="98"/>
  <c r="Q45" i="97"/>
  <c r="Q44" i="97"/>
  <c r="Q43" i="97"/>
  <c r="Q42" i="97"/>
  <c r="Q41" i="97"/>
  <c r="Q40" i="97"/>
  <c r="Q39" i="97"/>
  <c r="Q38" i="97"/>
  <c r="Q37" i="97"/>
  <c r="Q36" i="97"/>
  <c r="Q35" i="97"/>
  <c r="Q34" i="97"/>
  <c r="Q33" i="97"/>
  <c r="Q32" i="97"/>
  <c r="Q31" i="97"/>
  <c r="Q30" i="97"/>
  <c r="Q29" i="97"/>
  <c r="Q28" i="97"/>
  <c r="Q27" i="97"/>
  <c r="Q26" i="97"/>
  <c r="Q25" i="97"/>
  <c r="Q24" i="97"/>
  <c r="Q23" i="97"/>
  <c r="Q22" i="97"/>
  <c r="Q21" i="97"/>
  <c r="Q20" i="97"/>
  <c r="Q19" i="97"/>
  <c r="Q18" i="97"/>
  <c r="Q17" i="97"/>
  <c r="Q16" i="97"/>
  <c r="Q15" i="97"/>
  <c r="Q14" i="97"/>
  <c r="Q13" i="97"/>
  <c r="Q12" i="97"/>
  <c r="Q11" i="97"/>
  <c r="Q6" i="97"/>
  <c r="Q110" i="4" s="1"/>
  <c r="P6" i="97"/>
  <c r="O6" i="97"/>
  <c r="O7" i="97" s="1"/>
  <c r="N6" i="97"/>
  <c r="M6" i="97"/>
  <c r="L6" i="97"/>
  <c r="K6" i="97"/>
  <c r="J6" i="97"/>
  <c r="J7" i="97" s="1"/>
  <c r="I6" i="97"/>
  <c r="H6" i="97"/>
  <c r="G6" i="97"/>
  <c r="G7" i="97" s="1"/>
  <c r="F6" i="97"/>
  <c r="E6" i="97"/>
  <c r="E7" i="97" s="1"/>
  <c r="N7" i="97"/>
  <c r="M7" i="97"/>
  <c r="I7" i="97"/>
  <c r="E2" i="97"/>
  <c r="Q45" i="96"/>
  <c r="Q44" i="96"/>
  <c r="Q43" i="96"/>
  <c r="Q42" i="96"/>
  <c r="Q41" i="96"/>
  <c r="Q40" i="96"/>
  <c r="Q39" i="96"/>
  <c r="Q38" i="96"/>
  <c r="Q37" i="96"/>
  <c r="Q36" i="96"/>
  <c r="Q35" i="96"/>
  <c r="Q34" i="96"/>
  <c r="Q33" i="96"/>
  <c r="Q32" i="96"/>
  <c r="Q31" i="96"/>
  <c r="Q30" i="96"/>
  <c r="Q29" i="96"/>
  <c r="Q28" i="96"/>
  <c r="Q27" i="96"/>
  <c r="Q26" i="96"/>
  <c r="Q25" i="96"/>
  <c r="Q24" i="96"/>
  <c r="Q23" i="96"/>
  <c r="Q22" i="96"/>
  <c r="Q21" i="96"/>
  <c r="Q20" i="96"/>
  <c r="Q19" i="96"/>
  <c r="Q18" i="96"/>
  <c r="Q17" i="96"/>
  <c r="Q16" i="96"/>
  <c r="Q15" i="96"/>
  <c r="Q14" i="96"/>
  <c r="Q13" i="96"/>
  <c r="Q6" i="96" s="1"/>
  <c r="Q109" i="4" s="1"/>
  <c r="Q12" i="96"/>
  <c r="Q11" i="96"/>
  <c r="P6" i="96"/>
  <c r="O6" i="96"/>
  <c r="N6" i="96"/>
  <c r="M6" i="96"/>
  <c r="L6" i="96"/>
  <c r="K6" i="96"/>
  <c r="J6" i="96"/>
  <c r="I6" i="96"/>
  <c r="H6" i="96"/>
  <c r="G6" i="96"/>
  <c r="F6" i="96"/>
  <c r="E6" i="96"/>
  <c r="E7" i="96" s="1"/>
  <c r="P7" i="96"/>
  <c r="N7" i="96"/>
  <c r="L7" i="96"/>
  <c r="K7" i="96"/>
  <c r="I7" i="96"/>
  <c r="G7" i="96"/>
  <c r="F7" i="96"/>
  <c r="E2" i="96"/>
  <c r="Q45" i="95"/>
  <c r="Q44" i="95"/>
  <c r="Q43" i="95"/>
  <c r="Q42" i="95"/>
  <c r="Q41" i="95"/>
  <c r="Q40" i="95"/>
  <c r="Q39" i="95"/>
  <c r="Q38" i="95"/>
  <c r="Q37" i="95"/>
  <c r="Q36" i="95"/>
  <c r="Q35" i="95"/>
  <c r="Q34" i="95"/>
  <c r="Q33" i="95"/>
  <c r="Q32" i="95"/>
  <c r="Q31" i="95"/>
  <c r="Q30" i="95"/>
  <c r="Q29" i="95"/>
  <c r="Q28" i="95"/>
  <c r="Q27" i="95"/>
  <c r="Q26" i="95"/>
  <c r="Q25" i="95"/>
  <c r="Q24" i="95"/>
  <c r="Q23" i="95"/>
  <c r="Q22" i="95"/>
  <c r="Q21" i="95"/>
  <c r="Q20" i="95"/>
  <c r="Q19" i="95"/>
  <c r="Q18" i="95"/>
  <c r="Q17" i="95"/>
  <c r="Q16" i="95"/>
  <c r="Q15" i="95"/>
  <c r="Q14" i="95"/>
  <c r="Q13" i="95"/>
  <c r="Q6" i="95" s="1"/>
  <c r="Q108" i="4" s="1"/>
  <c r="Q12" i="95"/>
  <c r="Q11" i="95"/>
  <c r="P6" i="95"/>
  <c r="O6" i="95"/>
  <c r="N6" i="95"/>
  <c r="N7" i="95" s="1"/>
  <c r="M6" i="95"/>
  <c r="L6" i="95"/>
  <c r="K6" i="95"/>
  <c r="J6" i="95"/>
  <c r="I6" i="95"/>
  <c r="H6" i="95"/>
  <c r="G6" i="95"/>
  <c r="F6" i="95"/>
  <c r="E6" i="95"/>
  <c r="O7" i="95"/>
  <c r="M7" i="95"/>
  <c r="I7" i="95"/>
  <c r="F7" i="95"/>
  <c r="E2" i="95"/>
  <c r="Q45" i="94"/>
  <c r="Q44" i="94"/>
  <c r="Q43" i="94"/>
  <c r="Q42" i="94"/>
  <c r="Q41" i="94"/>
  <c r="Q40" i="94"/>
  <c r="Q39" i="94"/>
  <c r="Q38" i="94"/>
  <c r="Q37" i="94"/>
  <c r="Q36" i="94"/>
  <c r="Q35" i="94"/>
  <c r="Q34" i="94"/>
  <c r="Q33" i="94"/>
  <c r="Q32" i="94"/>
  <c r="Q31" i="94"/>
  <c r="Q30" i="94"/>
  <c r="Q29" i="94"/>
  <c r="Q28" i="94"/>
  <c r="Q27" i="94"/>
  <c r="Q26" i="94"/>
  <c r="Q25" i="94"/>
  <c r="Q24" i="94"/>
  <c r="Q23" i="94"/>
  <c r="Q22" i="94"/>
  <c r="Q21" i="94"/>
  <c r="Q20" i="94"/>
  <c r="Q19" i="94"/>
  <c r="Q18" i="94"/>
  <c r="Q17" i="94"/>
  <c r="Q16" i="94"/>
  <c r="Q15" i="94"/>
  <c r="Q14" i="94"/>
  <c r="Q13" i="94"/>
  <c r="Q12" i="94"/>
  <c r="Q11" i="94"/>
  <c r="Q6" i="94" s="1"/>
  <c r="Q107" i="4" s="1"/>
  <c r="P6" i="94"/>
  <c r="O6" i="94"/>
  <c r="N6" i="94"/>
  <c r="M6" i="94"/>
  <c r="L6" i="94"/>
  <c r="K6" i="94"/>
  <c r="J6" i="94"/>
  <c r="I6" i="94"/>
  <c r="H6" i="94"/>
  <c r="G6" i="94"/>
  <c r="F6" i="94"/>
  <c r="E6" i="94"/>
  <c r="E7" i="94" s="1"/>
  <c r="O7" i="94"/>
  <c r="N7" i="94"/>
  <c r="M7" i="94"/>
  <c r="L7" i="94"/>
  <c r="K7" i="94"/>
  <c r="J7" i="94"/>
  <c r="I7" i="94"/>
  <c r="H7" i="94"/>
  <c r="G7" i="94"/>
  <c r="E2" i="94"/>
  <c r="Q45" i="93"/>
  <c r="Q44" i="93"/>
  <c r="Q43" i="93"/>
  <c r="Q42" i="93"/>
  <c r="Q41" i="93"/>
  <c r="Q40" i="93"/>
  <c r="Q39" i="93"/>
  <c r="Q38" i="93"/>
  <c r="Q37" i="93"/>
  <c r="Q36" i="93"/>
  <c r="Q35" i="93"/>
  <c r="Q34" i="93"/>
  <c r="Q33" i="93"/>
  <c r="Q32" i="93"/>
  <c r="Q31" i="93"/>
  <c r="Q30" i="93"/>
  <c r="Q29" i="93"/>
  <c r="Q28" i="93"/>
  <c r="Q27" i="93"/>
  <c r="Q26" i="93"/>
  <c r="Q25" i="93"/>
  <c r="Q24" i="93"/>
  <c r="Q23" i="93"/>
  <c r="Q22" i="93"/>
  <c r="Q21" i="93"/>
  <c r="Q20" i="93"/>
  <c r="Q19" i="93"/>
  <c r="Q18" i="93"/>
  <c r="Q17" i="93"/>
  <c r="Q16" i="93"/>
  <c r="Q15" i="93"/>
  <c r="Q14" i="93"/>
  <c r="Q13" i="93"/>
  <c r="Q12" i="93"/>
  <c r="Q11" i="93"/>
  <c r="Q6" i="93" s="1"/>
  <c r="Q106" i="4" s="1"/>
  <c r="P6" i="93"/>
  <c r="O6" i="93"/>
  <c r="N6" i="93"/>
  <c r="N7" i="93" s="1"/>
  <c r="M6" i="93"/>
  <c r="L6" i="93"/>
  <c r="L7" i="93" s="1"/>
  <c r="K6" i="93"/>
  <c r="J6" i="93"/>
  <c r="I6" i="93"/>
  <c r="I7" i="93" s="1"/>
  <c r="H6" i="93"/>
  <c r="H7" i="93" s="1"/>
  <c r="G6" i="93"/>
  <c r="G7" i="93" s="1"/>
  <c r="F6" i="93"/>
  <c r="E6" i="93"/>
  <c r="J7" i="93"/>
  <c r="F7" i="93"/>
  <c r="E2" i="93"/>
  <c r="Q45" i="92"/>
  <c r="Q44" i="92"/>
  <c r="Q43" i="92"/>
  <c r="Q42" i="92"/>
  <c r="Q41" i="92"/>
  <c r="Q40" i="92"/>
  <c r="Q39" i="92"/>
  <c r="Q38" i="92"/>
  <c r="Q37" i="92"/>
  <c r="Q36" i="92"/>
  <c r="Q35" i="92"/>
  <c r="Q34" i="92"/>
  <c r="Q33" i="92"/>
  <c r="Q32" i="92"/>
  <c r="Q31" i="92"/>
  <c r="Q30" i="92"/>
  <c r="Q29" i="92"/>
  <c r="Q28" i="92"/>
  <c r="Q27" i="92"/>
  <c r="Q26" i="92"/>
  <c r="Q25" i="92"/>
  <c r="Q24" i="92"/>
  <c r="Q23" i="92"/>
  <c r="Q22" i="92"/>
  <c r="Q21" i="92"/>
  <c r="Q20" i="92"/>
  <c r="Q19" i="92"/>
  <c r="Q18" i="92"/>
  <c r="Q17" i="92"/>
  <c r="Q16" i="92"/>
  <c r="Q15" i="92"/>
  <c r="Q14" i="92"/>
  <c r="Q13" i="92"/>
  <c r="Q12" i="92"/>
  <c r="Q11" i="92"/>
  <c r="Q6" i="92" s="1"/>
  <c r="Q105" i="4" s="1"/>
  <c r="P6" i="92"/>
  <c r="O6" i="92"/>
  <c r="N6" i="92"/>
  <c r="M6" i="92"/>
  <c r="L6" i="92"/>
  <c r="K6" i="92"/>
  <c r="J6" i="92"/>
  <c r="I6" i="92"/>
  <c r="I7" i="92" s="1"/>
  <c r="H6" i="92"/>
  <c r="G6" i="92"/>
  <c r="F6" i="92"/>
  <c r="F7" i="92" s="1"/>
  <c r="E6" i="92"/>
  <c r="P7" i="92"/>
  <c r="E2" i="92"/>
  <c r="Q45" i="91"/>
  <c r="Q44" i="91"/>
  <c r="Q43" i="91"/>
  <c r="Q42" i="91"/>
  <c r="Q41" i="91"/>
  <c r="Q40" i="91"/>
  <c r="Q39" i="91"/>
  <c r="Q38" i="91"/>
  <c r="Q37" i="91"/>
  <c r="Q36" i="91"/>
  <c r="Q35" i="91"/>
  <c r="Q34" i="91"/>
  <c r="Q33" i="91"/>
  <c r="Q32" i="91"/>
  <c r="Q31" i="91"/>
  <c r="Q30" i="91"/>
  <c r="Q29" i="91"/>
  <c r="Q28" i="91"/>
  <c r="Q27" i="91"/>
  <c r="Q26" i="91"/>
  <c r="Q25" i="91"/>
  <c r="Q24" i="91"/>
  <c r="Q23" i="91"/>
  <c r="Q22" i="91"/>
  <c r="Q21" i="91"/>
  <c r="Q20" i="91"/>
  <c r="Q19" i="91"/>
  <c r="Q18" i="91"/>
  <c r="Q17" i="91"/>
  <c r="Q16" i="91"/>
  <c r="Q15" i="91"/>
  <c r="Q14" i="91"/>
  <c r="Q13" i="91"/>
  <c r="Q12" i="91"/>
  <c r="Q11" i="91"/>
  <c r="Q6" i="91" s="1"/>
  <c r="Q104" i="4" s="1"/>
  <c r="P6" i="91"/>
  <c r="O6" i="91"/>
  <c r="N6" i="91"/>
  <c r="M6" i="91"/>
  <c r="L6" i="91"/>
  <c r="K6" i="91"/>
  <c r="J6" i="91"/>
  <c r="I6" i="91"/>
  <c r="H6" i="91"/>
  <c r="H7" i="91" s="1"/>
  <c r="G6" i="91"/>
  <c r="F6" i="91"/>
  <c r="F7" i="91" s="1"/>
  <c r="E6" i="91"/>
  <c r="P7" i="91"/>
  <c r="O7" i="91"/>
  <c r="N7" i="91"/>
  <c r="L7" i="91"/>
  <c r="E2" i="91"/>
  <c r="Q45" i="90"/>
  <c r="Q44" i="90"/>
  <c r="Q43" i="90"/>
  <c r="Q42" i="90"/>
  <c r="Q41" i="90"/>
  <c r="Q40" i="90"/>
  <c r="Q39" i="90"/>
  <c r="Q38" i="90"/>
  <c r="Q37" i="90"/>
  <c r="Q36" i="90"/>
  <c r="Q35" i="90"/>
  <c r="Q34" i="90"/>
  <c r="Q33" i="90"/>
  <c r="Q32" i="90"/>
  <c r="Q31" i="90"/>
  <c r="Q30" i="90"/>
  <c r="Q29" i="90"/>
  <c r="Q28" i="90"/>
  <c r="Q27" i="90"/>
  <c r="Q26" i="90"/>
  <c r="Q25" i="90"/>
  <c r="Q24" i="90"/>
  <c r="Q23" i="90"/>
  <c r="Q22" i="90"/>
  <c r="Q21" i="90"/>
  <c r="Q20" i="90"/>
  <c r="Q19" i="90"/>
  <c r="Q18" i="90"/>
  <c r="Q17" i="90"/>
  <c r="Q16" i="90"/>
  <c r="Q15" i="90"/>
  <c r="Q14" i="90"/>
  <c r="Q13" i="90"/>
  <c r="Q12" i="90"/>
  <c r="Q11" i="90"/>
  <c r="Q6" i="90" s="1"/>
  <c r="Q103" i="4" s="1"/>
  <c r="P6" i="90"/>
  <c r="O6" i="90"/>
  <c r="O7" i="90" s="1"/>
  <c r="N6" i="90"/>
  <c r="M6" i="90"/>
  <c r="M7" i="90" s="1"/>
  <c r="L6" i="90"/>
  <c r="L7" i="90" s="1"/>
  <c r="K6" i="90"/>
  <c r="K7" i="90" s="1"/>
  <c r="J6" i="90"/>
  <c r="I6" i="90"/>
  <c r="H6" i="90"/>
  <c r="G6" i="90"/>
  <c r="F6" i="90"/>
  <c r="E6" i="90"/>
  <c r="P7" i="90"/>
  <c r="I7" i="90"/>
  <c r="H7" i="90"/>
  <c r="F7" i="90"/>
  <c r="E2" i="90"/>
  <c r="Q45" i="89"/>
  <c r="Q44" i="89"/>
  <c r="Q43" i="89"/>
  <c r="Q42" i="89"/>
  <c r="Q41" i="89"/>
  <c r="Q40" i="89"/>
  <c r="Q39" i="89"/>
  <c r="Q38" i="89"/>
  <c r="Q37" i="89"/>
  <c r="Q36" i="89"/>
  <c r="Q35" i="89"/>
  <c r="Q34" i="89"/>
  <c r="Q33" i="89"/>
  <c r="Q32" i="89"/>
  <c r="Q31" i="89"/>
  <c r="Q30" i="89"/>
  <c r="Q29" i="89"/>
  <c r="Q28" i="89"/>
  <c r="Q27" i="89"/>
  <c r="Q26" i="89"/>
  <c r="Q25" i="89"/>
  <c r="Q24" i="89"/>
  <c r="Q23" i="89"/>
  <c r="Q22" i="89"/>
  <c r="Q21" i="89"/>
  <c r="Q20" i="89"/>
  <c r="Q19" i="89"/>
  <c r="Q18" i="89"/>
  <c r="Q17" i="89"/>
  <c r="Q16" i="89"/>
  <c r="Q15" i="89"/>
  <c r="Q14" i="89"/>
  <c r="Q13" i="89"/>
  <c r="Q12" i="89"/>
  <c r="Q11" i="89"/>
  <c r="P6" i="89"/>
  <c r="O6" i="89"/>
  <c r="N6" i="89"/>
  <c r="M6" i="89"/>
  <c r="L6" i="89"/>
  <c r="L7" i="89" s="1"/>
  <c r="K6" i="89"/>
  <c r="J6" i="89"/>
  <c r="I6" i="89"/>
  <c r="I7" i="89" s="1"/>
  <c r="H6" i="89"/>
  <c r="G6" i="89"/>
  <c r="G7" i="89" s="1"/>
  <c r="F6" i="89"/>
  <c r="E6" i="89"/>
  <c r="E7" i="89" s="1"/>
  <c r="K7" i="89"/>
  <c r="H7" i="89"/>
  <c r="E2" i="89"/>
  <c r="Q45" i="88"/>
  <c r="Q44" i="88"/>
  <c r="Q43" i="88"/>
  <c r="Q42" i="88"/>
  <c r="Q41" i="88"/>
  <c r="Q40" i="88"/>
  <c r="Q39" i="88"/>
  <c r="Q38" i="88"/>
  <c r="Q37" i="88"/>
  <c r="Q36" i="88"/>
  <c r="Q35" i="88"/>
  <c r="Q34" i="88"/>
  <c r="Q33" i="88"/>
  <c r="Q32" i="88"/>
  <c r="Q31" i="88"/>
  <c r="Q30" i="88"/>
  <c r="Q29" i="88"/>
  <c r="Q28" i="88"/>
  <c r="Q27" i="88"/>
  <c r="Q26" i="88"/>
  <c r="Q25" i="88"/>
  <c r="Q24" i="88"/>
  <c r="Q23" i="88"/>
  <c r="Q22" i="88"/>
  <c r="Q21" i="88"/>
  <c r="Q20" i="88"/>
  <c r="Q19" i="88"/>
  <c r="Q18" i="88"/>
  <c r="Q17" i="88"/>
  <c r="Q16" i="88"/>
  <c r="Q15" i="88"/>
  <c r="Q14" i="88"/>
  <c r="Q13" i="88"/>
  <c r="Q12" i="88"/>
  <c r="Q11" i="88"/>
  <c r="K7" i="88"/>
  <c r="G7" i="88"/>
  <c r="P6" i="88"/>
  <c r="O6" i="88"/>
  <c r="N6" i="88"/>
  <c r="M6" i="88"/>
  <c r="L6" i="88"/>
  <c r="K6" i="88"/>
  <c r="J6" i="88"/>
  <c r="I6" i="88"/>
  <c r="I7" i="88" s="1"/>
  <c r="H6" i="88"/>
  <c r="G6" i="88"/>
  <c r="F6" i="88"/>
  <c r="F7" i="88" s="1"/>
  <c r="E6" i="88"/>
  <c r="E7" i="88" s="1"/>
  <c r="P7" i="88"/>
  <c r="E2" i="88"/>
  <c r="E5" i="87"/>
  <c r="E7" i="87" s="1"/>
  <c r="F5" i="87"/>
  <c r="G5" i="87"/>
  <c r="H5" i="87"/>
  <c r="I5" i="87"/>
  <c r="J5" i="87"/>
  <c r="K5" i="87"/>
  <c r="L5" i="87"/>
  <c r="M5" i="87"/>
  <c r="N5" i="87"/>
  <c r="N7" i="87" s="1"/>
  <c r="O5" i="87"/>
  <c r="O7" i="87" s="1"/>
  <c r="P5" i="87"/>
  <c r="P7" i="87" s="1"/>
  <c r="C9" i="87"/>
  <c r="C8" i="87"/>
  <c r="C9" i="86"/>
  <c r="C8" i="86"/>
  <c r="E5" i="85"/>
  <c r="F5" i="85"/>
  <c r="G5" i="85"/>
  <c r="H5" i="85"/>
  <c r="H7" i="85" s="1"/>
  <c r="I5" i="85"/>
  <c r="J5" i="85"/>
  <c r="J7" i="85" s="1"/>
  <c r="K5" i="85"/>
  <c r="K7" i="85" s="1"/>
  <c r="L5" i="85"/>
  <c r="L7" i="85" s="1"/>
  <c r="M5" i="85"/>
  <c r="M7" i="85" s="1"/>
  <c r="N5" i="85"/>
  <c r="N7" i="85" s="1"/>
  <c r="O5" i="85"/>
  <c r="P5" i="85"/>
  <c r="C9" i="85"/>
  <c r="C8" i="85"/>
  <c r="E5" i="84"/>
  <c r="F5" i="84"/>
  <c r="G5" i="84"/>
  <c r="G7" i="84" s="1"/>
  <c r="H5" i="84"/>
  <c r="H7" i="84" s="1"/>
  <c r="I5" i="84"/>
  <c r="I7" i="84" s="1"/>
  <c r="J5" i="84"/>
  <c r="J7" i="84" s="1"/>
  <c r="K5" i="84"/>
  <c r="L5" i="84"/>
  <c r="M5" i="84"/>
  <c r="N5" i="84"/>
  <c r="O5" i="84"/>
  <c r="P5" i="84"/>
  <c r="C9" i="84"/>
  <c r="C8" i="84"/>
  <c r="E5" i="83"/>
  <c r="F5" i="83"/>
  <c r="F7" i="83" s="1"/>
  <c r="G5" i="83"/>
  <c r="G7" i="83" s="1"/>
  <c r="H5" i="83"/>
  <c r="I5" i="83"/>
  <c r="J5" i="83"/>
  <c r="K5" i="83"/>
  <c r="L5" i="83"/>
  <c r="L7" i="83" s="1"/>
  <c r="M5" i="83"/>
  <c r="N5" i="83"/>
  <c r="N7" i="83" s="1"/>
  <c r="O5" i="83"/>
  <c r="P5" i="83"/>
  <c r="C9" i="83"/>
  <c r="C8" i="83"/>
  <c r="E5" i="82"/>
  <c r="F5" i="82"/>
  <c r="G5" i="82"/>
  <c r="H5" i="82"/>
  <c r="I5" i="82"/>
  <c r="J5" i="82"/>
  <c r="K5" i="82"/>
  <c r="L5" i="82"/>
  <c r="M5" i="82"/>
  <c r="N5" i="82"/>
  <c r="N7" i="82" s="1"/>
  <c r="O5" i="82"/>
  <c r="P5" i="82"/>
  <c r="P7" i="82" s="1"/>
  <c r="C9" i="82"/>
  <c r="C8" i="82"/>
  <c r="E5" i="81"/>
  <c r="F5" i="81"/>
  <c r="F7" i="81" s="1"/>
  <c r="G5" i="81"/>
  <c r="H5" i="81"/>
  <c r="H7" i="81" s="1"/>
  <c r="I5" i="81"/>
  <c r="J5" i="81"/>
  <c r="K5" i="81"/>
  <c r="K7" i="81" s="1"/>
  <c r="L5" i="81"/>
  <c r="L7" i="81" s="1"/>
  <c r="M5" i="81"/>
  <c r="M7" i="81" s="1"/>
  <c r="N5" i="81"/>
  <c r="O5" i="81"/>
  <c r="P5" i="81"/>
  <c r="C9" i="81"/>
  <c r="C8" i="81"/>
  <c r="E5" i="80"/>
  <c r="F5" i="80"/>
  <c r="G5" i="80"/>
  <c r="H5" i="80"/>
  <c r="H7" i="80" s="1"/>
  <c r="I5" i="80"/>
  <c r="I7" i="80" s="1"/>
  <c r="J5" i="80"/>
  <c r="J7" i="80" s="1"/>
  <c r="K5" i="80"/>
  <c r="L5" i="80"/>
  <c r="M5" i="80"/>
  <c r="N5" i="80"/>
  <c r="O5" i="80"/>
  <c r="O7" i="80" s="1"/>
  <c r="P5" i="80"/>
  <c r="C9" i="80"/>
  <c r="C8" i="80"/>
  <c r="E5" i="79"/>
  <c r="F5" i="79"/>
  <c r="F7" i="79" s="1"/>
  <c r="G5" i="79"/>
  <c r="G7" i="79" s="1"/>
  <c r="H5" i="79"/>
  <c r="I5" i="79"/>
  <c r="J5" i="79"/>
  <c r="K5" i="79"/>
  <c r="L5" i="79"/>
  <c r="M5" i="79"/>
  <c r="N5" i="79"/>
  <c r="N7" i="79" s="1"/>
  <c r="O5" i="79"/>
  <c r="P5" i="79"/>
  <c r="C9" i="79"/>
  <c r="C8" i="79"/>
  <c r="E5" i="78"/>
  <c r="F5" i="78"/>
  <c r="G5" i="78"/>
  <c r="H5" i="78"/>
  <c r="I5" i="78"/>
  <c r="J5" i="78"/>
  <c r="K5" i="78"/>
  <c r="K7" i="78" s="1"/>
  <c r="L5" i="78"/>
  <c r="L7" i="78" s="1"/>
  <c r="M5" i="78"/>
  <c r="M7" i="78" s="1"/>
  <c r="N5" i="78"/>
  <c r="O5" i="78"/>
  <c r="P5" i="78"/>
  <c r="C9" i="78"/>
  <c r="C8" i="78"/>
  <c r="Q45" i="87"/>
  <c r="Q44" i="87"/>
  <c r="Q43" i="87"/>
  <c r="Q42" i="87"/>
  <c r="Q41" i="87"/>
  <c r="Q40" i="87"/>
  <c r="Q39" i="87"/>
  <c r="Q38" i="87"/>
  <c r="Q37" i="87"/>
  <c r="Q36" i="87"/>
  <c r="Q35" i="87"/>
  <c r="Q34" i="87"/>
  <c r="Q33" i="87"/>
  <c r="Q32" i="87"/>
  <c r="Q31" i="87"/>
  <c r="Q30" i="87"/>
  <c r="Q29" i="87"/>
  <c r="Q28" i="87"/>
  <c r="Q27" i="87"/>
  <c r="Q26" i="87"/>
  <c r="Q25" i="87"/>
  <c r="Q24" i="87"/>
  <c r="Q23" i="87"/>
  <c r="Q22" i="87"/>
  <c r="Q21" i="87"/>
  <c r="Q20" i="87"/>
  <c r="Q19" i="87"/>
  <c r="Q18" i="87"/>
  <c r="Q17" i="87"/>
  <c r="Q16" i="87"/>
  <c r="Q15" i="87"/>
  <c r="Q14" i="87"/>
  <c r="Q13" i="87"/>
  <c r="Q12" i="87"/>
  <c r="Q11" i="87"/>
  <c r="P6" i="87"/>
  <c r="O6" i="87"/>
  <c r="N6" i="87"/>
  <c r="M6" i="87"/>
  <c r="M7" i="87" s="1"/>
  <c r="L6" i="87"/>
  <c r="K6" i="87"/>
  <c r="K7" i="87" s="1"/>
  <c r="J6" i="87"/>
  <c r="I6" i="87"/>
  <c r="I7" i="87" s="1"/>
  <c r="H6" i="87"/>
  <c r="H7" i="87" s="1"/>
  <c r="G6" i="87"/>
  <c r="F6" i="87"/>
  <c r="F7" i="87" s="1"/>
  <c r="E6" i="87"/>
  <c r="L7" i="87"/>
  <c r="J7" i="87"/>
  <c r="G7" i="87"/>
  <c r="E2" i="87"/>
  <c r="Q45" i="86"/>
  <c r="Q44" i="86"/>
  <c r="Q43" i="86"/>
  <c r="Q42" i="86"/>
  <c r="Q41" i="86"/>
  <c r="Q40" i="86"/>
  <c r="Q39" i="86"/>
  <c r="Q38" i="86"/>
  <c r="Q37" i="86"/>
  <c r="Q36" i="86"/>
  <c r="Q35" i="86"/>
  <c r="Q34" i="86"/>
  <c r="Q33" i="86"/>
  <c r="Q32" i="86"/>
  <c r="Q31" i="86"/>
  <c r="Q30" i="86"/>
  <c r="Q29" i="86"/>
  <c r="Q28" i="86"/>
  <c r="Q27" i="86"/>
  <c r="Q26" i="86"/>
  <c r="Q25" i="86"/>
  <c r="Q24" i="86"/>
  <c r="Q23" i="86"/>
  <c r="Q22" i="86"/>
  <c r="Q21" i="86"/>
  <c r="Q20" i="86"/>
  <c r="Q19" i="86"/>
  <c r="Q18" i="86"/>
  <c r="Q17" i="86"/>
  <c r="Q16" i="86"/>
  <c r="Q15" i="86"/>
  <c r="Q14" i="86"/>
  <c r="Q13" i="86"/>
  <c r="Q12" i="86"/>
  <c r="Q6" i="86" s="1"/>
  <c r="Q98" i="4" s="1"/>
  <c r="Q11" i="86"/>
  <c r="P6" i="86"/>
  <c r="O6" i="86"/>
  <c r="N6" i="86"/>
  <c r="M6" i="86"/>
  <c r="L6" i="86"/>
  <c r="K6" i="86"/>
  <c r="J6" i="86"/>
  <c r="I6" i="86"/>
  <c r="H6" i="86"/>
  <c r="G6" i="86"/>
  <c r="F6" i="86"/>
  <c r="E6" i="86"/>
  <c r="P5" i="86"/>
  <c r="P7" i="86" s="1"/>
  <c r="O5" i="86"/>
  <c r="N5" i="86"/>
  <c r="N7" i="86" s="1"/>
  <c r="M5" i="86"/>
  <c r="M7" i="86" s="1"/>
  <c r="L5" i="86"/>
  <c r="L7" i="86" s="1"/>
  <c r="K5" i="86"/>
  <c r="J5" i="86"/>
  <c r="J7" i="86" s="1"/>
  <c r="I5" i="86"/>
  <c r="I7" i="86" s="1"/>
  <c r="H5" i="86"/>
  <c r="H7" i="86" s="1"/>
  <c r="G5" i="86"/>
  <c r="G7" i="86" s="1"/>
  <c r="F5" i="86"/>
  <c r="F7" i="86" s="1"/>
  <c r="E5" i="86"/>
  <c r="E7" i="86" s="1"/>
  <c r="E2" i="86"/>
  <c r="Q45" i="85"/>
  <c r="Q44" i="85"/>
  <c r="Q43" i="85"/>
  <c r="Q42" i="85"/>
  <c r="Q41" i="85"/>
  <c r="Q40" i="85"/>
  <c r="Q39" i="85"/>
  <c r="Q38" i="85"/>
  <c r="Q37" i="85"/>
  <c r="Q36" i="85"/>
  <c r="Q35" i="85"/>
  <c r="Q34" i="85"/>
  <c r="Q33" i="85"/>
  <c r="Q32" i="85"/>
  <c r="Q31" i="85"/>
  <c r="Q30" i="85"/>
  <c r="Q29" i="85"/>
  <c r="Q28" i="85"/>
  <c r="Q27" i="85"/>
  <c r="Q26" i="85"/>
  <c r="Q25" i="85"/>
  <c r="Q24" i="85"/>
  <c r="Q23" i="85"/>
  <c r="Q22" i="85"/>
  <c r="Q21" i="85"/>
  <c r="Q20" i="85"/>
  <c r="Q19" i="85"/>
  <c r="Q18" i="85"/>
  <c r="Q17" i="85"/>
  <c r="Q16" i="85"/>
  <c r="Q15" i="85"/>
  <c r="Q14" i="85"/>
  <c r="Q13" i="85"/>
  <c r="Q12" i="85"/>
  <c r="Q11" i="85"/>
  <c r="Q6" i="85" s="1"/>
  <c r="Q97" i="4" s="1"/>
  <c r="P6" i="85"/>
  <c r="O6" i="85"/>
  <c r="N6" i="85"/>
  <c r="M6" i="85"/>
  <c r="L6" i="85"/>
  <c r="K6" i="85"/>
  <c r="J6" i="85"/>
  <c r="I6" i="85"/>
  <c r="H6" i="85"/>
  <c r="G6" i="85"/>
  <c r="G7" i="85" s="1"/>
  <c r="F6" i="85"/>
  <c r="E6" i="85"/>
  <c r="P7" i="85"/>
  <c r="O7" i="85"/>
  <c r="I7" i="85"/>
  <c r="E2" i="85"/>
  <c r="Q45" i="84"/>
  <c r="Q44" i="84"/>
  <c r="Q43" i="84"/>
  <c r="Q42" i="84"/>
  <c r="Q41" i="84"/>
  <c r="Q40" i="84"/>
  <c r="Q39" i="84"/>
  <c r="Q38" i="84"/>
  <c r="Q37" i="84"/>
  <c r="Q36" i="84"/>
  <c r="Q35" i="84"/>
  <c r="Q34" i="84"/>
  <c r="Q33" i="84"/>
  <c r="Q32" i="84"/>
  <c r="Q31" i="84"/>
  <c r="Q30" i="84"/>
  <c r="Q29" i="84"/>
  <c r="Q28" i="84"/>
  <c r="Q27" i="84"/>
  <c r="Q26" i="84"/>
  <c r="Q25" i="84"/>
  <c r="Q24" i="84"/>
  <c r="Q23" i="84"/>
  <c r="Q22" i="84"/>
  <c r="Q21" i="84"/>
  <c r="Q20" i="84"/>
  <c r="Q19" i="84"/>
  <c r="Q18" i="84"/>
  <c r="Q17" i="84"/>
  <c r="Q16" i="84"/>
  <c r="Q15" i="84"/>
  <c r="Q14" i="84"/>
  <c r="Q13" i="84"/>
  <c r="Q12" i="84"/>
  <c r="Q11" i="84"/>
  <c r="Q6" i="84"/>
  <c r="Q96" i="4" s="1"/>
  <c r="P6" i="84"/>
  <c r="O6" i="84"/>
  <c r="N6" i="84"/>
  <c r="M6" i="84"/>
  <c r="L6" i="84"/>
  <c r="K6" i="84"/>
  <c r="J6" i="84"/>
  <c r="I6" i="84"/>
  <c r="H6" i="84"/>
  <c r="G6" i="84"/>
  <c r="F6" i="84"/>
  <c r="E6" i="84"/>
  <c r="E7" i="84" s="1"/>
  <c r="P7" i="84"/>
  <c r="O7" i="84"/>
  <c r="N7" i="84"/>
  <c r="M7" i="84"/>
  <c r="L7" i="84"/>
  <c r="K7" i="84"/>
  <c r="F7" i="84"/>
  <c r="E2" i="84"/>
  <c r="Q45" i="83"/>
  <c r="Q44" i="83"/>
  <c r="Q43" i="83"/>
  <c r="Q42" i="83"/>
  <c r="Q41" i="83"/>
  <c r="Q40" i="83"/>
  <c r="Q39" i="83"/>
  <c r="Q38" i="83"/>
  <c r="Q37" i="83"/>
  <c r="Q36" i="83"/>
  <c r="Q35" i="83"/>
  <c r="Q34" i="83"/>
  <c r="Q33" i="83"/>
  <c r="Q32" i="83"/>
  <c r="Q31" i="83"/>
  <c r="Q30" i="83"/>
  <c r="Q29" i="83"/>
  <c r="Q28" i="83"/>
  <c r="Q27" i="83"/>
  <c r="Q26" i="83"/>
  <c r="Q25" i="83"/>
  <c r="Q24" i="83"/>
  <c r="Q23" i="83"/>
  <c r="Q22" i="83"/>
  <c r="Q21" i="83"/>
  <c r="Q20" i="83"/>
  <c r="Q19" i="83"/>
  <c r="Q18" i="83"/>
  <c r="Q17" i="83"/>
  <c r="Q16" i="83"/>
  <c r="Q15" i="83"/>
  <c r="Q14" i="83"/>
  <c r="Q13" i="83"/>
  <c r="Q12" i="83"/>
  <c r="Q11" i="83"/>
  <c r="Q6" i="83"/>
  <c r="Q95" i="4" s="1"/>
  <c r="P6" i="83"/>
  <c r="O6" i="83"/>
  <c r="O7" i="83" s="1"/>
  <c r="N6" i="83"/>
  <c r="M6" i="83"/>
  <c r="L6" i="83"/>
  <c r="K6" i="83"/>
  <c r="J6" i="83"/>
  <c r="I6" i="83"/>
  <c r="I7" i="83" s="1"/>
  <c r="H6" i="83"/>
  <c r="G6" i="83"/>
  <c r="F6" i="83"/>
  <c r="E6" i="83"/>
  <c r="E7" i="83" s="1"/>
  <c r="M7" i="83"/>
  <c r="K7" i="83"/>
  <c r="E2" i="83"/>
  <c r="Q45" i="82"/>
  <c r="Q44" i="82"/>
  <c r="Q43" i="82"/>
  <c r="Q42" i="82"/>
  <c r="Q41" i="82"/>
  <c r="Q40" i="82"/>
  <c r="Q39" i="82"/>
  <c r="Q38" i="82"/>
  <c r="Q37" i="82"/>
  <c r="Q36" i="82"/>
  <c r="Q35" i="82"/>
  <c r="Q34" i="82"/>
  <c r="Q33" i="82"/>
  <c r="Q32" i="82"/>
  <c r="Q31" i="82"/>
  <c r="Q30" i="82"/>
  <c r="Q29" i="82"/>
  <c r="Q28" i="82"/>
  <c r="Q27" i="82"/>
  <c r="Q26" i="82"/>
  <c r="Q25" i="82"/>
  <c r="Q24" i="82"/>
  <c r="Q23" i="82"/>
  <c r="Q22" i="82"/>
  <c r="Q21" i="82"/>
  <c r="Q20" i="82"/>
  <c r="Q19" i="82"/>
  <c r="Q18" i="82"/>
  <c r="Q17" i="82"/>
  <c r="Q16" i="82"/>
  <c r="Q15" i="82"/>
  <c r="Q14" i="82"/>
  <c r="Q13" i="82"/>
  <c r="Q12" i="82"/>
  <c r="Q11" i="82"/>
  <c r="Q6" i="82" s="1"/>
  <c r="Q94" i="4" s="1"/>
  <c r="P6" i="82"/>
  <c r="O6" i="82"/>
  <c r="N6" i="82"/>
  <c r="M6" i="82"/>
  <c r="L6" i="82"/>
  <c r="L7" i="82" s="1"/>
  <c r="K6" i="82"/>
  <c r="K7" i="82" s="1"/>
  <c r="J6" i="82"/>
  <c r="J7" i="82" s="1"/>
  <c r="I6" i="82"/>
  <c r="H6" i="82"/>
  <c r="G6" i="82"/>
  <c r="F6" i="82"/>
  <c r="E6" i="82"/>
  <c r="M7" i="82"/>
  <c r="I7" i="82"/>
  <c r="H7" i="82"/>
  <c r="G7" i="82"/>
  <c r="F7" i="82"/>
  <c r="E2" i="82"/>
  <c r="Q45" i="81"/>
  <c r="Q44" i="81"/>
  <c r="Q43" i="81"/>
  <c r="Q42" i="81"/>
  <c r="Q41" i="81"/>
  <c r="Q40" i="81"/>
  <c r="Q39" i="81"/>
  <c r="Q38" i="81"/>
  <c r="Q37" i="81"/>
  <c r="Q36" i="81"/>
  <c r="Q35" i="81"/>
  <c r="Q34" i="81"/>
  <c r="Q33" i="81"/>
  <c r="Q32" i="81"/>
  <c r="Q31" i="81"/>
  <c r="Q30" i="81"/>
  <c r="Q29" i="81"/>
  <c r="Q28" i="81"/>
  <c r="Q27" i="81"/>
  <c r="Q26" i="81"/>
  <c r="Q25" i="81"/>
  <c r="Q24" i="81"/>
  <c r="Q23" i="81"/>
  <c r="Q22" i="81"/>
  <c r="Q21" i="81"/>
  <c r="Q20" i="81"/>
  <c r="Q19" i="81"/>
  <c r="Q18" i="81"/>
  <c r="Q17" i="81"/>
  <c r="Q16" i="81"/>
  <c r="Q15" i="81"/>
  <c r="Q14" i="81"/>
  <c r="Q13" i="81"/>
  <c r="Q12" i="81"/>
  <c r="Q11" i="81"/>
  <c r="Q6" i="81" s="1"/>
  <c r="Q93" i="4" s="1"/>
  <c r="P6" i="81"/>
  <c r="O6" i="81"/>
  <c r="N6" i="81"/>
  <c r="M6" i="81"/>
  <c r="L6" i="81"/>
  <c r="K6" i="81"/>
  <c r="J6" i="81"/>
  <c r="I6" i="81"/>
  <c r="I7" i="81" s="1"/>
  <c r="H6" i="81"/>
  <c r="G6" i="81"/>
  <c r="F6" i="81"/>
  <c r="E6" i="81"/>
  <c r="E7" i="81" s="1"/>
  <c r="P7" i="81"/>
  <c r="O7" i="81"/>
  <c r="G7" i="81"/>
  <c r="E2" i="81"/>
  <c r="Q45" i="80"/>
  <c r="Q44" i="80"/>
  <c r="Q43" i="80"/>
  <c r="Q42" i="80"/>
  <c r="Q41" i="80"/>
  <c r="Q40" i="80"/>
  <c r="Q39" i="80"/>
  <c r="Q38" i="80"/>
  <c r="Q37" i="80"/>
  <c r="Q36" i="80"/>
  <c r="Q35" i="80"/>
  <c r="Q34" i="80"/>
  <c r="Q33" i="80"/>
  <c r="Q32" i="80"/>
  <c r="Q31" i="80"/>
  <c r="Q30" i="80"/>
  <c r="Q29" i="80"/>
  <c r="Q28" i="80"/>
  <c r="Q27" i="80"/>
  <c r="Q26" i="80"/>
  <c r="Q25" i="80"/>
  <c r="Q24" i="80"/>
  <c r="Q23" i="80"/>
  <c r="Q22" i="80"/>
  <c r="Q21" i="80"/>
  <c r="Q20" i="80"/>
  <c r="Q19" i="80"/>
  <c r="Q18" i="80"/>
  <c r="Q17" i="80"/>
  <c r="Q16" i="80"/>
  <c r="Q15" i="80"/>
  <c r="Q14" i="80"/>
  <c r="Q13" i="80"/>
  <c r="Q12" i="80"/>
  <c r="Q11" i="80"/>
  <c r="Q6" i="80" s="1"/>
  <c r="Q92" i="4" s="1"/>
  <c r="P6" i="80"/>
  <c r="O6" i="80"/>
  <c r="N6" i="80"/>
  <c r="M6" i="80"/>
  <c r="L6" i="80"/>
  <c r="K6" i="80"/>
  <c r="J6" i="80"/>
  <c r="I6" i="80"/>
  <c r="H6" i="80"/>
  <c r="G6" i="80"/>
  <c r="F6" i="80"/>
  <c r="E6" i="80"/>
  <c r="P7" i="80"/>
  <c r="N7" i="80"/>
  <c r="M7" i="80"/>
  <c r="L7" i="80"/>
  <c r="K7" i="80"/>
  <c r="G7" i="80"/>
  <c r="F7" i="80"/>
  <c r="E2" i="80"/>
  <c r="Q45" i="79"/>
  <c r="Q44" i="79"/>
  <c r="Q43" i="79"/>
  <c r="Q42" i="79"/>
  <c r="Q41" i="79"/>
  <c r="Q40" i="79"/>
  <c r="Q39" i="79"/>
  <c r="Q38" i="79"/>
  <c r="Q37" i="79"/>
  <c r="Q36" i="79"/>
  <c r="Q35" i="79"/>
  <c r="Q34" i="79"/>
  <c r="Q33" i="79"/>
  <c r="Q32" i="79"/>
  <c r="Q31" i="79"/>
  <c r="Q30" i="79"/>
  <c r="Q29" i="79"/>
  <c r="Q28" i="79"/>
  <c r="Q27" i="79"/>
  <c r="Q26" i="79"/>
  <c r="Q25" i="79"/>
  <c r="Q24" i="79"/>
  <c r="Q23" i="79"/>
  <c r="Q22" i="79"/>
  <c r="Q21" i="79"/>
  <c r="Q20" i="79"/>
  <c r="Q19" i="79"/>
  <c r="Q18" i="79"/>
  <c r="Q17" i="79"/>
  <c r="Q16" i="79"/>
  <c r="Q15" i="79"/>
  <c r="Q14" i="79"/>
  <c r="Q13" i="79"/>
  <c r="Q12" i="79"/>
  <c r="Q11" i="79"/>
  <c r="P6" i="79"/>
  <c r="O6" i="79"/>
  <c r="N6" i="79"/>
  <c r="M6" i="79"/>
  <c r="L6" i="79"/>
  <c r="K6" i="79"/>
  <c r="J6" i="79"/>
  <c r="I6" i="79"/>
  <c r="H6" i="79"/>
  <c r="H7" i="79" s="1"/>
  <c r="G6" i="79"/>
  <c r="F6" i="79"/>
  <c r="E6" i="79"/>
  <c r="E7" i="79" s="1"/>
  <c r="P7" i="79"/>
  <c r="O7" i="79"/>
  <c r="M7" i="79"/>
  <c r="L7" i="79"/>
  <c r="K7" i="79"/>
  <c r="J7" i="79"/>
  <c r="I7" i="79"/>
  <c r="E2" i="79"/>
  <c r="Q45" i="78"/>
  <c r="Q44" i="78"/>
  <c r="Q43" i="78"/>
  <c r="Q42" i="78"/>
  <c r="Q41" i="78"/>
  <c r="Q40" i="78"/>
  <c r="Q39" i="78"/>
  <c r="Q38" i="78"/>
  <c r="Q37" i="78"/>
  <c r="Q36" i="78"/>
  <c r="Q35" i="78"/>
  <c r="Q34" i="78"/>
  <c r="Q33" i="78"/>
  <c r="Q32" i="78"/>
  <c r="Q31" i="78"/>
  <c r="Q30" i="78"/>
  <c r="Q29" i="78"/>
  <c r="Q28" i="78"/>
  <c r="Q27" i="78"/>
  <c r="Q26" i="78"/>
  <c r="Q25" i="78"/>
  <c r="Q24" i="78"/>
  <c r="Q23" i="78"/>
  <c r="Q22" i="78"/>
  <c r="Q21" i="78"/>
  <c r="Q20" i="78"/>
  <c r="Q19" i="78"/>
  <c r="Q18" i="78"/>
  <c r="Q17" i="78"/>
  <c r="Q16" i="78"/>
  <c r="Q15" i="78"/>
  <c r="Q14" i="78"/>
  <c r="Q13" i="78"/>
  <c r="Q12" i="78"/>
  <c r="Q11" i="78"/>
  <c r="P6" i="78"/>
  <c r="P7" i="78" s="1"/>
  <c r="O6" i="78"/>
  <c r="N6" i="78"/>
  <c r="M6" i="78"/>
  <c r="L6" i="78"/>
  <c r="K6" i="78"/>
  <c r="J6" i="78"/>
  <c r="I6" i="78"/>
  <c r="H6" i="78"/>
  <c r="G6" i="78"/>
  <c r="F6" i="78"/>
  <c r="E6" i="78"/>
  <c r="O7" i="78"/>
  <c r="N7" i="78"/>
  <c r="J7" i="78"/>
  <c r="I7" i="78"/>
  <c r="H7" i="78"/>
  <c r="G7" i="78"/>
  <c r="F7" i="78"/>
  <c r="E2" i="78"/>
  <c r="E5" i="77"/>
  <c r="F5" i="77"/>
  <c r="F7" i="77" s="1"/>
  <c r="G5" i="77"/>
  <c r="H5" i="77"/>
  <c r="I5" i="77"/>
  <c r="J5" i="77"/>
  <c r="K5" i="77"/>
  <c r="L5" i="77"/>
  <c r="M5" i="77"/>
  <c r="M7" i="77" s="1"/>
  <c r="N5" i="77"/>
  <c r="N7" i="77" s="1"/>
  <c r="O5" i="77"/>
  <c r="P5" i="77"/>
  <c r="P7" i="77" s="1"/>
  <c r="C9" i="77"/>
  <c r="C8" i="77"/>
  <c r="E5" i="76"/>
  <c r="F5" i="76"/>
  <c r="G5" i="76"/>
  <c r="H5" i="76"/>
  <c r="I5" i="76"/>
  <c r="J5" i="76"/>
  <c r="K5" i="76"/>
  <c r="K7" i="76" s="1"/>
  <c r="L5" i="76"/>
  <c r="M5" i="76"/>
  <c r="M7" i="76" s="1"/>
  <c r="N5" i="76"/>
  <c r="N7" i="76" s="1"/>
  <c r="O5" i="76"/>
  <c r="O7" i="76" s="1"/>
  <c r="P5" i="76"/>
  <c r="C9" i="76"/>
  <c r="C8" i="76"/>
  <c r="E5" i="75"/>
  <c r="F5" i="75"/>
  <c r="G5" i="75"/>
  <c r="H5" i="75"/>
  <c r="I5" i="75"/>
  <c r="J5" i="75"/>
  <c r="J7" i="75" s="1"/>
  <c r="K5" i="75"/>
  <c r="L5" i="75"/>
  <c r="L7" i="75" s="1"/>
  <c r="M5" i="75"/>
  <c r="N5" i="75"/>
  <c r="O5" i="75"/>
  <c r="P5" i="75"/>
  <c r="P7" i="75" s="1"/>
  <c r="C9" i="75"/>
  <c r="C8" i="75"/>
  <c r="E5" i="74"/>
  <c r="F5" i="74"/>
  <c r="F7" i="74" s="1"/>
  <c r="G5" i="74"/>
  <c r="G7" i="74" s="1"/>
  <c r="H5" i="74"/>
  <c r="H7" i="74" s="1"/>
  <c r="I5" i="74"/>
  <c r="J5" i="74"/>
  <c r="K5" i="74"/>
  <c r="L5" i="74"/>
  <c r="M5" i="74"/>
  <c r="N5" i="74"/>
  <c r="O5" i="74"/>
  <c r="P5" i="74"/>
  <c r="C9" i="74"/>
  <c r="C8" i="74"/>
  <c r="E5" i="73"/>
  <c r="E7" i="73" s="1"/>
  <c r="F5" i="73"/>
  <c r="F7" i="73" s="1"/>
  <c r="G5" i="73"/>
  <c r="H5" i="73"/>
  <c r="I5" i="73"/>
  <c r="J5" i="73"/>
  <c r="K5" i="73"/>
  <c r="L5" i="73"/>
  <c r="M5" i="73"/>
  <c r="M7" i="73" s="1"/>
  <c r="N5" i="73"/>
  <c r="N7" i="73" s="1"/>
  <c r="O5" i="73"/>
  <c r="O7" i="73" s="1"/>
  <c r="P5" i="73"/>
  <c r="P7" i="73" s="1"/>
  <c r="C9" i="73"/>
  <c r="C8" i="73"/>
  <c r="Q45" i="77"/>
  <c r="Q44" i="77"/>
  <c r="Q43" i="77"/>
  <c r="Q42" i="77"/>
  <c r="Q41" i="77"/>
  <c r="Q40" i="77"/>
  <c r="Q39" i="77"/>
  <c r="Q38" i="77"/>
  <c r="Q37" i="77"/>
  <c r="Q36" i="77"/>
  <c r="Q35" i="77"/>
  <c r="Q34" i="77"/>
  <c r="Q33" i="77"/>
  <c r="Q32" i="77"/>
  <c r="Q31" i="77"/>
  <c r="Q30" i="77"/>
  <c r="Q29" i="77"/>
  <c r="Q28" i="77"/>
  <c r="Q27" i="77"/>
  <c r="Q26" i="77"/>
  <c r="Q25" i="77"/>
  <c r="Q24" i="77"/>
  <c r="Q23" i="77"/>
  <c r="Q22" i="77"/>
  <c r="Q21" i="77"/>
  <c r="Q20" i="77"/>
  <c r="Q19" i="77"/>
  <c r="Q18" i="77"/>
  <c r="Q17" i="77"/>
  <c r="Q16" i="77"/>
  <c r="Q15" i="77"/>
  <c r="Q14" i="77"/>
  <c r="Q13" i="77"/>
  <c r="Q12" i="77"/>
  <c r="Q11" i="77"/>
  <c r="Q6" i="77" s="1"/>
  <c r="Q88" i="4" s="1"/>
  <c r="P6" i="77"/>
  <c r="O6" i="77"/>
  <c r="N6" i="77"/>
  <c r="M6" i="77"/>
  <c r="L6" i="77"/>
  <c r="K6" i="77"/>
  <c r="K7" i="77" s="1"/>
  <c r="J6" i="77"/>
  <c r="J7" i="77" s="1"/>
  <c r="I6" i="77"/>
  <c r="I7" i="77" s="1"/>
  <c r="H6" i="77"/>
  <c r="G6" i="77"/>
  <c r="G7" i="77" s="1"/>
  <c r="F6" i="77"/>
  <c r="E6" i="77"/>
  <c r="L7" i="77"/>
  <c r="E2" i="77"/>
  <c r="Q45" i="76"/>
  <c r="Q44" i="76"/>
  <c r="Q43" i="76"/>
  <c r="Q42" i="76"/>
  <c r="Q41" i="76"/>
  <c r="Q40" i="76"/>
  <c r="Q39" i="76"/>
  <c r="Q38" i="76"/>
  <c r="Q37" i="76"/>
  <c r="Q36" i="76"/>
  <c r="Q35" i="76"/>
  <c r="Q34" i="76"/>
  <c r="Q33" i="76"/>
  <c r="Q32" i="76"/>
  <c r="Q31" i="76"/>
  <c r="Q30" i="76"/>
  <c r="Q29" i="76"/>
  <c r="Q28" i="76"/>
  <c r="Q27" i="76"/>
  <c r="Q26" i="76"/>
  <c r="Q25" i="76"/>
  <c r="Q24" i="76"/>
  <c r="Q23" i="76"/>
  <c r="Q22" i="76"/>
  <c r="Q21" i="76"/>
  <c r="Q20" i="76"/>
  <c r="Q19" i="76"/>
  <c r="Q18" i="76"/>
  <c r="Q17" i="76"/>
  <c r="Q6" i="76" s="1"/>
  <c r="Q87" i="4" s="1"/>
  <c r="Q16" i="76"/>
  <c r="Q15" i="76"/>
  <c r="Q14" i="76"/>
  <c r="Q13" i="76"/>
  <c r="Q12" i="76"/>
  <c r="Q11" i="76"/>
  <c r="P6" i="76"/>
  <c r="O6" i="76"/>
  <c r="N6" i="76"/>
  <c r="M6" i="76"/>
  <c r="L6" i="76"/>
  <c r="K6" i="76"/>
  <c r="J6" i="76"/>
  <c r="I6" i="76"/>
  <c r="H6" i="76"/>
  <c r="G6" i="76"/>
  <c r="F6" i="76"/>
  <c r="E6" i="76"/>
  <c r="J7" i="76"/>
  <c r="I7" i="76"/>
  <c r="F7" i="76"/>
  <c r="E2" i="76"/>
  <c r="Q45" i="75"/>
  <c r="Q44" i="75"/>
  <c r="Q43" i="75"/>
  <c r="Q42" i="75"/>
  <c r="Q41" i="75"/>
  <c r="Q40" i="75"/>
  <c r="Q39" i="75"/>
  <c r="Q38" i="75"/>
  <c r="Q37" i="75"/>
  <c r="Q36" i="75"/>
  <c r="Q35" i="75"/>
  <c r="Q34" i="75"/>
  <c r="Q33" i="75"/>
  <c r="Q32" i="75"/>
  <c r="Q31" i="75"/>
  <c r="Q30" i="75"/>
  <c r="Q29" i="75"/>
  <c r="Q28" i="75"/>
  <c r="Q27" i="75"/>
  <c r="Q26" i="75"/>
  <c r="Q25" i="75"/>
  <c r="Q24" i="75"/>
  <c r="Q23" i="75"/>
  <c r="Q22" i="75"/>
  <c r="Q21" i="75"/>
  <c r="Q20" i="75"/>
  <c r="Q19" i="75"/>
  <c r="Q18" i="75"/>
  <c r="Q17" i="75"/>
  <c r="Q16" i="75"/>
  <c r="Q15" i="75"/>
  <c r="Q14" i="75"/>
  <c r="Q13" i="75"/>
  <c r="Q12" i="75"/>
  <c r="Q11" i="75"/>
  <c r="Q6" i="75" s="1"/>
  <c r="Q86" i="4" s="1"/>
  <c r="P6" i="75"/>
  <c r="O6" i="75"/>
  <c r="O7" i="75" s="1"/>
  <c r="N6" i="75"/>
  <c r="N7" i="75" s="1"/>
  <c r="M6" i="75"/>
  <c r="L6" i="75"/>
  <c r="K6" i="75"/>
  <c r="J6" i="75"/>
  <c r="I6" i="75"/>
  <c r="H6" i="75"/>
  <c r="G6" i="75"/>
  <c r="G7" i="75" s="1"/>
  <c r="F6" i="75"/>
  <c r="F7" i="75" s="1"/>
  <c r="E6" i="75"/>
  <c r="E2" i="75"/>
  <c r="Q45" i="74"/>
  <c r="Q44" i="74"/>
  <c r="Q43" i="74"/>
  <c r="Q42" i="74"/>
  <c r="Q41" i="74"/>
  <c r="Q40" i="74"/>
  <c r="Q39" i="74"/>
  <c r="Q38" i="74"/>
  <c r="Q37" i="74"/>
  <c r="Q36" i="74"/>
  <c r="Q35" i="74"/>
  <c r="Q34" i="74"/>
  <c r="Q33" i="74"/>
  <c r="Q32" i="74"/>
  <c r="Q31" i="74"/>
  <c r="Q30" i="74"/>
  <c r="Q29" i="74"/>
  <c r="Q28" i="74"/>
  <c r="Q27" i="74"/>
  <c r="Q26" i="74"/>
  <c r="Q25" i="74"/>
  <c r="Q24" i="74"/>
  <c r="Q23" i="74"/>
  <c r="Q22" i="74"/>
  <c r="Q21" i="74"/>
  <c r="Q20" i="74"/>
  <c r="Q19" i="74"/>
  <c r="Q18" i="74"/>
  <c r="Q17" i="74"/>
  <c r="Q16" i="74"/>
  <c r="Q15" i="74"/>
  <c r="Q14" i="74"/>
  <c r="Q13" i="74"/>
  <c r="Q12" i="74"/>
  <c r="Q11" i="74"/>
  <c r="Q6" i="74" s="1"/>
  <c r="Q85" i="4" s="1"/>
  <c r="P6" i="74"/>
  <c r="O6" i="74"/>
  <c r="N6" i="74"/>
  <c r="N7" i="74" s="1"/>
  <c r="M6" i="74"/>
  <c r="M7" i="74" s="1"/>
  <c r="L6" i="74"/>
  <c r="K6" i="74"/>
  <c r="K7" i="74" s="1"/>
  <c r="J6" i="74"/>
  <c r="I6" i="74"/>
  <c r="H6" i="74"/>
  <c r="G6" i="74"/>
  <c r="F6" i="74"/>
  <c r="E6" i="74"/>
  <c r="O7" i="74"/>
  <c r="J7" i="74"/>
  <c r="I7" i="74"/>
  <c r="E2" i="74"/>
  <c r="Q45" i="73"/>
  <c r="Q44" i="73"/>
  <c r="Q43" i="73"/>
  <c r="Q42" i="73"/>
  <c r="Q41" i="73"/>
  <c r="Q40" i="73"/>
  <c r="Q39" i="73"/>
  <c r="Q38" i="73"/>
  <c r="Q37" i="73"/>
  <c r="Q36" i="73"/>
  <c r="Q35" i="73"/>
  <c r="Q34" i="73"/>
  <c r="Q33" i="73"/>
  <c r="Q32" i="73"/>
  <c r="Q31" i="73"/>
  <c r="Q30" i="73"/>
  <c r="Q29" i="73"/>
  <c r="Q28" i="73"/>
  <c r="Q27" i="73"/>
  <c r="Q26" i="73"/>
  <c r="Q25" i="73"/>
  <c r="Q24" i="73"/>
  <c r="Q23" i="73"/>
  <c r="Q22" i="73"/>
  <c r="Q21" i="73"/>
  <c r="Q20" i="73"/>
  <c r="Q19" i="73"/>
  <c r="Q18" i="73"/>
  <c r="Q17" i="73"/>
  <c r="Q16" i="73"/>
  <c r="Q15" i="73"/>
  <c r="Q14" i="73"/>
  <c r="Q13" i="73"/>
  <c r="Q12" i="73"/>
  <c r="Q11" i="73"/>
  <c r="P6" i="73"/>
  <c r="O6" i="73"/>
  <c r="N6" i="73"/>
  <c r="M6" i="73"/>
  <c r="L6" i="73"/>
  <c r="K6" i="73"/>
  <c r="J6" i="73"/>
  <c r="I6" i="73"/>
  <c r="H6" i="73"/>
  <c r="H7" i="73" s="1"/>
  <c r="G6" i="73"/>
  <c r="G7" i="73" s="1"/>
  <c r="F6" i="73"/>
  <c r="E6" i="73"/>
  <c r="L7" i="73"/>
  <c r="K7" i="73"/>
  <c r="J7" i="73"/>
  <c r="I7" i="73"/>
  <c r="E2" i="73"/>
  <c r="E5" i="72"/>
  <c r="F5" i="72"/>
  <c r="G5" i="72"/>
  <c r="H5" i="72"/>
  <c r="H7" i="72" s="1"/>
  <c r="I5" i="72"/>
  <c r="I7" i="72" s="1"/>
  <c r="J5" i="72"/>
  <c r="J7" i="72" s="1"/>
  <c r="K5" i="72"/>
  <c r="L5" i="72"/>
  <c r="L7" i="72" s="1"/>
  <c r="M5" i="72"/>
  <c r="N5" i="72"/>
  <c r="O5" i="72"/>
  <c r="P5" i="72"/>
  <c r="C9" i="72"/>
  <c r="C8" i="72"/>
  <c r="E5" i="71"/>
  <c r="E7" i="71" s="1"/>
  <c r="F5" i="71"/>
  <c r="F7" i="71" s="1"/>
  <c r="G5" i="71"/>
  <c r="G7" i="71" s="1"/>
  <c r="H5" i="71"/>
  <c r="H7" i="71" s="1"/>
  <c r="I5" i="71"/>
  <c r="J5" i="71"/>
  <c r="J7" i="71" s="1"/>
  <c r="K5" i="71"/>
  <c r="L5" i="71"/>
  <c r="M5" i="71"/>
  <c r="N5" i="71"/>
  <c r="O5" i="71"/>
  <c r="P5" i="71"/>
  <c r="P7" i="71" s="1"/>
  <c r="C9" i="71"/>
  <c r="C8" i="71"/>
  <c r="E5" i="70"/>
  <c r="F5" i="70"/>
  <c r="F7" i="70" s="1"/>
  <c r="G5" i="70"/>
  <c r="H5" i="70"/>
  <c r="I5" i="70"/>
  <c r="J5" i="70"/>
  <c r="K5" i="70"/>
  <c r="L5" i="70"/>
  <c r="M5" i="70"/>
  <c r="N5" i="70"/>
  <c r="O5" i="70"/>
  <c r="O7" i="70" s="1"/>
  <c r="P5" i="70"/>
  <c r="P7" i="70" s="1"/>
  <c r="C9" i="70"/>
  <c r="C8" i="70"/>
  <c r="E5" i="69"/>
  <c r="F5" i="69"/>
  <c r="G5" i="69"/>
  <c r="H5" i="69"/>
  <c r="I5" i="69"/>
  <c r="J5" i="69"/>
  <c r="J7" i="69" s="1"/>
  <c r="K5" i="69"/>
  <c r="K7" i="69" s="1"/>
  <c r="L5" i="69"/>
  <c r="L7" i="69" s="1"/>
  <c r="M5" i="69"/>
  <c r="M7" i="69" s="1"/>
  <c r="N5" i="69"/>
  <c r="N7" i="69" s="1"/>
  <c r="O5" i="69"/>
  <c r="O7" i="69" s="1"/>
  <c r="P5" i="69"/>
  <c r="C9" i="69"/>
  <c r="C8" i="69"/>
  <c r="E5" i="68"/>
  <c r="F5" i="68"/>
  <c r="G5" i="68"/>
  <c r="H5" i="68"/>
  <c r="H7" i="68" s="1"/>
  <c r="I5" i="68"/>
  <c r="I7" i="68" s="1"/>
  <c r="J5" i="68"/>
  <c r="J7" i="68" s="1"/>
  <c r="K5" i="68"/>
  <c r="K7" i="68" s="1"/>
  <c r="L5" i="68"/>
  <c r="L7" i="68" s="1"/>
  <c r="M5" i="68"/>
  <c r="N5" i="68"/>
  <c r="O5" i="68"/>
  <c r="P5" i="68"/>
  <c r="C9" i="68"/>
  <c r="C8" i="68"/>
  <c r="E5" i="67"/>
  <c r="F5" i="67"/>
  <c r="F7" i="67" s="1"/>
  <c r="G5" i="67"/>
  <c r="H5" i="67"/>
  <c r="H7" i="67" s="1"/>
  <c r="I5" i="67"/>
  <c r="I7" i="67" s="1"/>
  <c r="J5" i="67"/>
  <c r="J7" i="67" s="1"/>
  <c r="K5" i="67"/>
  <c r="L5" i="67"/>
  <c r="M5" i="67"/>
  <c r="N5" i="67"/>
  <c r="O5" i="67"/>
  <c r="P5" i="67"/>
  <c r="C9" i="67"/>
  <c r="C8" i="67"/>
  <c r="E5" i="66"/>
  <c r="F5" i="66"/>
  <c r="G5" i="66"/>
  <c r="G7" i="66" s="1"/>
  <c r="H5" i="66"/>
  <c r="I5" i="66"/>
  <c r="J5" i="66"/>
  <c r="K5" i="66"/>
  <c r="L5" i="66"/>
  <c r="M5" i="66"/>
  <c r="N5" i="66"/>
  <c r="N7" i="66" s="1"/>
  <c r="O5" i="66"/>
  <c r="O7" i="66" s="1"/>
  <c r="P5" i="66"/>
  <c r="P7" i="66" s="1"/>
  <c r="C9" i="66"/>
  <c r="C8" i="66"/>
  <c r="E5" i="65"/>
  <c r="F5" i="65"/>
  <c r="G5" i="65"/>
  <c r="H5" i="65"/>
  <c r="I5" i="65"/>
  <c r="J5" i="65"/>
  <c r="J7" i="65" s="1"/>
  <c r="K5" i="65"/>
  <c r="L5" i="65"/>
  <c r="L7" i="65" s="1"/>
  <c r="M5" i="65"/>
  <c r="M7" i="65" s="1"/>
  <c r="N5" i="65"/>
  <c r="N7" i="65" s="1"/>
  <c r="O5" i="65"/>
  <c r="P5" i="65"/>
  <c r="P7" i="65" s="1"/>
  <c r="C9" i="65"/>
  <c r="C8" i="65"/>
  <c r="E5" i="64"/>
  <c r="F5" i="64"/>
  <c r="G5" i="64"/>
  <c r="H5" i="64"/>
  <c r="H7" i="64" s="1"/>
  <c r="I5" i="64"/>
  <c r="I7" i="64" s="1"/>
  <c r="J5" i="64"/>
  <c r="J7" i="64" s="1"/>
  <c r="K5" i="64"/>
  <c r="K7" i="64" s="1"/>
  <c r="L5" i="64"/>
  <c r="L7" i="64" s="1"/>
  <c r="M5" i="64"/>
  <c r="N5" i="64"/>
  <c r="O5" i="64"/>
  <c r="P5" i="64"/>
  <c r="C9" i="64"/>
  <c r="C8" i="64"/>
  <c r="E5" i="63"/>
  <c r="F5" i="63"/>
  <c r="F7" i="63" s="1"/>
  <c r="G5" i="63"/>
  <c r="G7" i="63" s="1"/>
  <c r="H5" i="63"/>
  <c r="H7" i="63" s="1"/>
  <c r="I5" i="63"/>
  <c r="I7" i="63" s="1"/>
  <c r="J5" i="63"/>
  <c r="K5" i="63"/>
  <c r="L5" i="63"/>
  <c r="M5" i="63"/>
  <c r="N5" i="63"/>
  <c r="O5" i="63"/>
  <c r="P5" i="63"/>
  <c r="C9" i="63"/>
  <c r="C8" i="63"/>
  <c r="P73" i="4"/>
  <c r="Q5" i="63" s="1"/>
  <c r="Q45" i="72"/>
  <c r="Q44" i="72"/>
  <c r="Q43" i="72"/>
  <c r="Q42" i="72"/>
  <c r="Q41" i="72"/>
  <c r="Q40" i="72"/>
  <c r="Q39" i="72"/>
  <c r="Q38" i="72"/>
  <c r="Q37" i="72"/>
  <c r="Q36" i="72"/>
  <c r="Q35" i="72"/>
  <c r="Q34" i="72"/>
  <c r="Q33" i="72"/>
  <c r="Q32" i="72"/>
  <c r="Q31" i="72"/>
  <c r="Q30" i="72"/>
  <c r="Q29" i="72"/>
  <c r="Q28" i="72"/>
  <c r="Q27" i="72"/>
  <c r="Q26" i="72"/>
  <c r="Q25" i="72"/>
  <c r="Q24" i="72"/>
  <c r="Q23" i="72"/>
  <c r="Q22" i="72"/>
  <c r="Q21" i="72"/>
  <c r="Q20" i="72"/>
  <c r="Q19" i="72"/>
  <c r="Q18" i="72"/>
  <c r="Q17" i="72"/>
  <c r="Q16" i="72"/>
  <c r="Q15" i="72"/>
  <c r="Q14" i="72"/>
  <c r="Q13" i="72"/>
  <c r="Q12" i="72"/>
  <c r="Q11" i="72"/>
  <c r="P6" i="72"/>
  <c r="O6" i="72"/>
  <c r="O7" i="72" s="1"/>
  <c r="N6" i="72"/>
  <c r="M6" i="72"/>
  <c r="L6" i="72"/>
  <c r="K6" i="72"/>
  <c r="J6" i="72"/>
  <c r="I6" i="72"/>
  <c r="H6" i="72"/>
  <c r="G6" i="72"/>
  <c r="G7" i="72" s="1"/>
  <c r="F6" i="72"/>
  <c r="F7" i="72" s="1"/>
  <c r="E6" i="72"/>
  <c r="P7" i="72"/>
  <c r="N7" i="72"/>
  <c r="M7" i="72"/>
  <c r="E2" i="72"/>
  <c r="Q45" i="71"/>
  <c r="Q44" i="71"/>
  <c r="Q43" i="71"/>
  <c r="Q42" i="71"/>
  <c r="Q41" i="71"/>
  <c r="Q40" i="71"/>
  <c r="Q39" i="71"/>
  <c r="Q38" i="71"/>
  <c r="Q37" i="71"/>
  <c r="Q36" i="71"/>
  <c r="Q35" i="71"/>
  <c r="Q34" i="71"/>
  <c r="Q33" i="71"/>
  <c r="Q32" i="71"/>
  <c r="Q31" i="71"/>
  <c r="Q30" i="71"/>
  <c r="Q29" i="71"/>
  <c r="Q28" i="71"/>
  <c r="Q27" i="71"/>
  <c r="Q26" i="71"/>
  <c r="Q25" i="71"/>
  <c r="Q24" i="71"/>
  <c r="Q23" i="71"/>
  <c r="Q22" i="71"/>
  <c r="Q21" i="71"/>
  <c r="Q20" i="71"/>
  <c r="Q19" i="71"/>
  <c r="Q18" i="71"/>
  <c r="Q17" i="71"/>
  <c r="Q16" i="71"/>
  <c r="Q15" i="71"/>
  <c r="Q14" i="71"/>
  <c r="Q13" i="71"/>
  <c r="Q12" i="71"/>
  <c r="Q11" i="71"/>
  <c r="P6" i="71"/>
  <c r="O6" i="71"/>
  <c r="N6" i="71"/>
  <c r="M6" i="71"/>
  <c r="L6" i="71"/>
  <c r="K6" i="71"/>
  <c r="J6" i="71"/>
  <c r="I6" i="71"/>
  <c r="I7" i="71" s="1"/>
  <c r="H6" i="71"/>
  <c r="G6" i="71"/>
  <c r="F6" i="71"/>
  <c r="E6" i="71"/>
  <c r="O7" i="71"/>
  <c r="N7" i="71"/>
  <c r="M7" i="71"/>
  <c r="L7" i="71"/>
  <c r="K7" i="71"/>
  <c r="E2" i="71"/>
  <c r="Q45" i="70"/>
  <c r="Q44" i="70"/>
  <c r="Q43" i="70"/>
  <c r="Q42" i="70"/>
  <c r="Q41" i="70"/>
  <c r="Q40" i="70"/>
  <c r="Q39" i="70"/>
  <c r="Q38" i="70"/>
  <c r="Q37" i="70"/>
  <c r="Q36" i="70"/>
  <c r="Q35" i="70"/>
  <c r="Q34" i="70"/>
  <c r="Q33" i="70"/>
  <c r="Q32" i="70"/>
  <c r="Q31" i="70"/>
  <c r="Q30" i="70"/>
  <c r="Q29" i="70"/>
  <c r="Q28" i="70"/>
  <c r="Q27" i="70"/>
  <c r="Q26" i="70"/>
  <c r="Q25" i="70"/>
  <c r="Q24" i="70"/>
  <c r="Q23" i="70"/>
  <c r="Q22" i="70"/>
  <c r="Q21" i="70"/>
  <c r="Q20" i="70"/>
  <c r="Q19" i="70"/>
  <c r="Q18" i="70"/>
  <c r="Q17" i="70"/>
  <c r="Q16" i="70"/>
  <c r="Q15" i="70"/>
  <c r="Q14" i="70"/>
  <c r="Q13" i="70"/>
  <c r="Q12" i="70"/>
  <c r="Q11" i="70"/>
  <c r="P6" i="70"/>
  <c r="O6" i="70"/>
  <c r="N6" i="70"/>
  <c r="M6" i="70"/>
  <c r="L6" i="70"/>
  <c r="L7" i="70" s="1"/>
  <c r="K6" i="70"/>
  <c r="K7" i="70" s="1"/>
  <c r="J6" i="70"/>
  <c r="I6" i="70"/>
  <c r="I7" i="70" s="1"/>
  <c r="H6" i="70"/>
  <c r="G6" i="70"/>
  <c r="F6" i="70"/>
  <c r="E6" i="70"/>
  <c r="M7" i="70"/>
  <c r="H7" i="70"/>
  <c r="G7" i="70"/>
  <c r="E2" i="70"/>
  <c r="Q45" i="69"/>
  <c r="Q44" i="69"/>
  <c r="Q43" i="69"/>
  <c r="Q42" i="69"/>
  <c r="Q41" i="69"/>
  <c r="Q40" i="69"/>
  <c r="Q39" i="69"/>
  <c r="Q38" i="69"/>
  <c r="Q37" i="69"/>
  <c r="Q36" i="69"/>
  <c r="Q35" i="69"/>
  <c r="Q34" i="69"/>
  <c r="Q33" i="69"/>
  <c r="Q32" i="69"/>
  <c r="Q31" i="69"/>
  <c r="Q30" i="69"/>
  <c r="Q29" i="69"/>
  <c r="Q28" i="69"/>
  <c r="Q27" i="69"/>
  <c r="Q26" i="69"/>
  <c r="Q25" i="69"/>
  <c r="Q24" i="69"/>
  <c r="Q23" i="69"/>
  <c r="Q22" i="69"/>
  <c r="Q21" i="69"/>
  <c r="Q20" i="69"/>
  <c r="Q19" i="69"/>
  <c r="Q18" i="69"/>
  <c r="Q17" i="69"/>
  <c r="Q16" i="69"/>
  <c r="Q15" i="69"/>
  <c r="Q14" i="69"/>
  <c r="Q13" i="69"/>
  <c r="Q12" i="69"/>
  <c r="Q11" i="69"/>
  <c r="P6" i="69"/>
  <c r="O6" i="69"/>
  <c r="N6" i="69"/>
  <c r="M6" i="69"/>
  <c r="L6" i="69"/>
  <c r="K6" i="69"/>
  <c r="J6" i="69"/>
  <c r="I6" i="69"/>
  <c r="I7" i="69" s="1"/>
  <c r="H6" i="69"/>
  <c r="G6" i="69"/>
  <c r="G7" i="69" s="1"/>
  <c r="F6" i="69"/>
  <c r="F7" i="69" s="1"/>
  <c r="E6" i="69"/>
  <c r="E2" i="69"/>
  <c r="Q45" i="68"/>
  <c r="Q44" i="68"/>
  <c r="Q43" i="68"/>
  <c r="Q42" i="68"/>
  <c r="Q41" i="68"/>
  <c r="Q40" i="68"/>
  <c r="Q39" i="68"/>
  <c r="Q38" i="68"/>
  <c r="Q37" i="68"/>
  <c r="Q36" i="68"/>
  <c r="Q35" i="68"/>
  <c r="Q34" i="68"/>
  <c r="Q33" i="68"/>
  <c r="Q32" i="68"/>
  <c r="Q31" i="68"/>
  <c r="Q30" i="68"/>
  <c r="Q29" i="68"/>
  <c r="Q28" i="68"/>
  <c r="Q27" i="68"/>
  <c r="Q26" i="68"/>
  <c r="Q25" i="68"/>
  <c r="Q24" i="68"/>
  <c r="Q23" i="68"/>
  <c r="Q22" i="68"/>
  <c r="Q21" i="68"/>
  <c r="Q20" i="68"/>
  <c r="Q19" i="68"/>
  <c r="Q18" i="68"/>
  <c r="Q17" i="68"/>
  <c r="Q16" i="68"/>
  <c r="Q15" i="68"/>
  <c r="Q14" i="68"/>
  <c r="Q13" i="68"/>
  <c r="Q12" i="68"/>
  <c r="Q11" i="68"/>
  <c r="P6" i="68"/>
  <c r="O6" i="68"/>
  <c r="N6" i="68"/>
  <c r="M6" i="68"/>
  <c r="L6" i="68"/>
  <c r="K6" i="68"/>
  <c r="J6" i="68"/>
  <c r="I6" i="68"/>
  <c r="H6" i="68"/>
  <c r="G6" i="68"/>
  <c r="F6" i="68"/>
  <c r="E6" i="68"/>
  <c r="P7" i="68"/>
  <c r="O7" i="68"/>
  <c r="N7" i="68"/>
  <c r="M7" i="68"/>
  <c r="G7" i="68"/>
  <c r="F7" i="68"/>
  <c r="E2" i="68"/>
  <c r="Q45" i="67"/>
  <c r="Q44" i="67"/>
  <c r="Q43" i="67"/>
  <c r="Q42" i="67"/>
  <c r="Q41" i="67"/>
  <c r="Q40" i="67"/>
  <c r="Q39" i="67"/>
  <c r="Q38" i="67"/>
  <c r="Q37" i="67"/>
  <c r="Q36" i="67"/>
  <c r="Q35" i="67"/>
  <c r="Q34" i="67"/>
  <c r="Q33" i="67"/>
  <c r="Q32" i="67"/>
  <c r="Q31" i="67"/>
  <c r="Q30" i="67"/>
  <c r="Q29" i="67"/>
  <c r="Q28" i="67"/>
  <c r="Q27" i="67"/>
  <c r="Q26" i="67"/>
  <c r="Q25" i="67"/>
  <c r="Q24" i="67"/>
  <c r="Q23" i="67"/>
  <c r="Q22" i="67"/>
  <c r="Q21" i="67"/>
  <c r="Q20" i="67"/>
  <c r="Q19" i="67"/>
  <c r="Q18" i="67"/>
  <c r="Q17" i="67"/>
  <c r="Q16" i="67"/>
  <c r="Q15" i="67"/>
  <c r="Q14" i="67"/>
  <c r="Q13" i="67"/>
  <c r="Q12" i="67"/>
  <c r="Q11" i="67"/>
  <c r="K7" i="67"/>
  <c r="G7" i="67"/>
  <c r="P6" i="67"/>
  <c r="O6" i="67"/>
  <c r="O7" i="67" s="1"/>
  <c r="N6" i="67"/>
  <c r="M6" i="67"/>
  <c r="L6" i="67"/>
  <c r="L7" i="67" s="1"/>
  <c r="K6" i="67"/>
  <c r="J6" i="67"/>
  <c r="I6" i="67"/>
  <c r="H6" i="67"/>
  <c r="G6" i="67"/>
  <c r="F6" i="67"/>
  <c r="E6" i="67"/>
  <c r="N7" i="67"/>
  <c r="M7" i="67"/>
  <c r="E2" i="67"/>
  <c r="Q45" i="66"/>
  <c r="Q44" i="66"/>
  <c r="Q43" i="66"/>
  <c r="Q42" i="66"/>
  <c r="Q41" i="66"/>
  <c r="Q40" i="66"/>
  <c r="Q39" i="66"/>
  <c r="Q38" i="66"/>
  <c r="Q37" i="66"/>
  <c r="Q36" i="66"/>
  <c r="Q35" i="66"/>
  <c r="Q34" i="66"/>
  <c r="Q33" i="66"/>
  <c r="Q32" i="66"/>
  <c r="Q31" i="66"/>
  <c r="Q30" i="66"/>
  <c r="Q29" i="66"/>
  <c r="Q28" i="66"/>
  <c r="Q27" i="66"/>
  <c r="Q26" i="66"/>
  <c r="Q25" i="66"/>
  <c r="Q24" i="66"/>
  <c r="Q23" i="66"/>
  <c r="Q22" i="66"/>
  <c r="Q21" i="66"/>
  <c r="Q20" i="66"/>
  <c r="Q19" i="66"/>
  <c r="Q18" i="66"/>
  <c r="Q17" i="66"/>
  <c r="Q16" i="66"/>
  <c r="Q15" i="66"/>
  <c r="Q14" i="66"/>
  <c r="Q13" i="66"/>
  <c r="Q12" i="66"/>
  <c r="Q11" i="66"/>
  <c r="Q6" i="66" s="1"/>
  <c r="Q76" i="4" s="1"/>
  <c r="P6" i="66"/>
  <c r="O6" i="66"/>
  <c r="N6" i="66"/>
  <c r="M6" i="66"/>
  <c r="L6" i="66"/>
  <c r="L7" i="66" s="1"/>
  <c r="K6" i="66"/>
  <c r="J6" i="66"/>
  <c r="J7" i="66" s="1"/>
  <c r="I6" i="66"/>
  <c r="I7" i="66" s="1"/>
  <c r="H6" i="66"/>
  <c r="G6" i="66"/>
  <c r="F6" i="66"/>
  <c r="E6" i="66"/>
  <c r="M7" i="66"/>
  <c r="H7" i="66"/>
  <c r="F7" i="66"/>
  <c r="E2" i="66"/>
  <c r="Q45" i="65"/>
  <c r="Q44" i="65"/>
  <c r="Q43" i="65"/>
  <c r="Q42" i="65"/>
  <c r="Q41" i="65"/>
  <c r="Q40" i="65"/>
  <c r="Q39" i="65"/>
  <c r="Q38" i="65"/>
  <c r="Q37" i="65"/>
  <c r="Q36" i="65"/>
  <c r="Q35" i="65"/>
  <c r="Q34" i="65"/>
  <c r="Q33" i="65"/>
  <c r="Q32" i="65"/>
  <c r="Q31" i="65"/>
  <c r="Q30" i="65"/>
  <c r="Q29" i="65"/>
  <c r="Q28" i="65"/>
  <c r="Q27" i="65"/>
  <c r="Q26" i="65"/>
  <c r="Q25" i="65"/>
  <c r="Q24" i="65"/>
  <c r="Q23" i="65"/>
  <c r="Q22" i="65"/>
  <c r="Q21" i="65"/>
  <c r="Q20" i="65"/>
  <c r="Q19" i="65"/>
  <c r="Q18" i="65"/>
  <c r="Q17" i="65"/>
  <c r="Q16" i="65"/>
  <c r="Q15" i="65"/>
  <c r="Q14" i="65"/>
  <c r="Q13" i="65"/>
  <c r="Q12" i="65"/>
  <c r="Q11" i="65"/>
  <c r="Q6" i="65" s="1"/>
  <c r="Q75" i="4" s="1"/>
  <c r="P6" i="65"/>
  <c r="O6" i="65"/>
  <c r="N6" i="65"/>
  <c r="M6" i="65"/>
  <c r="L6" i="65"/>
  <c r="K6" i="65"/>
  <c r="J6" i="65"/>
  <c r="I6" i="65"/>
  <c r="I7" i="65" s="1"/>
  <c r="H6" i="65"/>
  <c r="G6" i="65"/>
  <c r="F6" i="65"/>
  <c r="F7" i="65" s="1"/>
  <c r="E6" i="65"/>
  <c r="E7" i="65" s="1"/>
  <c r="E2" i="65"/>
  <c r="Q45" i="64"/>
  <c r="Q44" i="64"/>
  <c r="Q43" i="64"/>
  <c r="Q42" i="64"/>
  <c r="Q41" i="64"/>
  <c r="Q40" i="64"/>
  <c r="Q39" i="64"/>
  <c r="Q38" i="64"/>
  <c r="Q37" i="64"/>
  <c r="Q36" i="64"/>
  <c r="Q35" i="64"/>
  <c r="Q34" i="64"/>
  <c r="Q33" i="64"/>
  <c r="Q32" i="64"/>
  <c r="Q31" i="64"/>
  <c r="Q30" i="64"/>
  <c r="Q29" i="64"/>
  <c r="Q28" i="64"/>
  <c r="Q27" i="64"/>
  <c r="Q26" i="64"/>
  <c r="Q25" i="64"/>
  <c r="Q24" i="64"/>
  <c r="Q23" i="64"/>
  <c r="Q22" i="64"/>
  <c r="Q21" i="64"/>
  <c r="Q20" i="64"/>
  <c r="Q19" i="64"/>
  <c r="Q18" i="64"/>
  <c r="Q17" i="64"/>
  <c r="Q16" i="64"/>
  <c r="Q15" i="64"/>
  <c r="Q14" i="64"/>
  <c r="Q13" i="64"/>
  <c r="Q12" i="64"/>
  <c r="Q11" i="64"/>
  <c r="Q6" i="64" s="1"/>
  <c r="Q74" i="4" s="1"/>
  <c r="P6" i="64"/>
  <c r="O6" i="64"/>
  <c r="O7" i="64" s="1"/>
  <c r="N6" i="64"/>
  <c r="M6" i="64"/>
  <c r="L6" i="64"/>
  <c r="K6" i="64"/>
  <c r="J6" i="64"/>
  <c r="I6" i="64"/>
  <c r="H6" i="64"/>
  <c r="G6" i="64"/>
  <c r="F6" i="64"/>
  <c r="E6" i="64"/>
  <c r="P7" i="64"/>
  <c r="N7" i="64"/>
  <c r="M7" i="64"/>
  <c r="G7" i="64"/>
  <c r="F7" i="64"/>
  <c r="E2" i="64"/>
  <c r="Q45" i="63"/>
  <c r="Q44" i="63"/>
  <c r="Q43" i="63"/>
  <c r="Q42" i="63"/>
  <c r="Q41" i="63"/>
  <c r="Q40" i="63"/>
  <c r="Q39" i="63"/>
  <c r="Q38" i="63"/>
  <c r="Q37" i="63"/>
  <c r="Q36" i="63"/>
  <c r="Q35" i="63"/>
  <c r="Q34" i="63"/>
  <c r="Q33" i="63"/>
  <c r="Q32" i="63"/>
  <c r="Q31" i="63"/>
  <c r="Q30" i="63"/>
  <c r="Q29" i="63"/>
  <c r="Q28" i="63"/>
  <c r="Q27" i="63"/>
  <c r="Q26" i="63"/>
  <c r="Q25" i="63"/>
  <c r="Q24" i="63"/>
  <c r="Q23" i="63"/>
  <c r="Q22" i="63"/>
  <c r="Q21" i="63"/>
  <c r="Q20" i="63"/>
  <c r="Q19" i="63"/>
  <c r="Q18" i="63"/>
  <c r="Q17" i="63"/>
  <c r="Q16" i="63"/>
  <c r="Q15" i="63"/>
  <c r="Q14" i="63"/>
  <c r="Q13" i="63"/>
  <c r="Q12" i="63"/>
  <c r="Q11" i="63"/>
  <c r="P6" i="63"/>
  <c r="O6" i="63"/>
  <c r="N6" i="63"/>
  <c r="N7" i="63" s="1"/>
  <c r="M6" i="63"/>
  <c r="M7" i="63" s="1"/>
  <c r="L6" i="63"/>
  <c r="L7" i="63" s="1"/>
  <c r="K6" i="63"/>
  <c r="J6" i="63"/>
  <c r="I6" i="63"/>
  <c r="H6" i="63"/>
  <c r="G6" i="63"/>
  <c r="F6" i="63"/>
  <c r="E6" i="63"/>
  <c r="E7" i="63" s="1"/>
  <c r="P7" i="63"/>
  <c r="J7" i="63"/>
  <c r="E2" i="63"/>
  <c r="E5" i="62"/>
  <c r="F5" i="62"/>
  <c r="G5" i="62"/>
  <c r="H5" i="62"/>
  <c r="I5" i="62"/>
  <c r="J5" i="62"/>
  <c r="K5" i="62"/>
  <c r="L5" i="62"/>
  <c r="M5" i="62"/>
  <c r="N5" i="62"/>
  <c r="O5" i="62"/>
  <c r="P5" i="62"/>
  <c r="C9" i="62"/>
  <c r="C8" i="62"/>
  <c r="E5" i="61"/>
  <c r="F5" i="61"/>
  <c r="G5" i="61"/>
  <c r="H5" i="61"/>
  <c r="I5" i="61"/>
  <c r="J5" i="61"/>
  <c r="K5" i="61"/>
  <c r="L5" i="61"/>
  <c r="M5" i="61"/>
  <c r="N5" i="61"/>
  <c r="O5" i="61"/>
  <c r="P5" i="61"/>
  <c r="C9" i="61"/>
  <c r="C8" i="61"/>
  <c r="E5" i="60"/>
  <c r="F5" i="60"/>
  <c r="G5" i="60"/>
  <c r="H5" i="60"/>
  <c r="I5" i="60"/>
  <c r="J5" i="60"/>
  <c r="K5" i="60"/>
  <c r="L5" i="60"/>
  <c r="M5" i="60"/>
  <c r="N5" i="60"/>
  <c r="O5" i="60"/>
  <c r="P5" i="60"/>
  <c r="C9" i="60"/>
  <c r="C8" i="60"/>
  <c r="E5" i="59"/>
  <c r="F5" i="59"/>
  <c r="G5" i="59"/>
  <c r="H5" i="59"/>
  <c r="I5" i="59"/>
  <c r="J5" i="59"/>
  <c r="K5" i="59"/>
  <c r="L5" i="59"/>
  <c r="M5" i="59"/>
  <c r="N5" i="59"/>
  <c r="O5" i="59"/>
  <c r="P5" i="59"/>
  <c r="C9" i="59"/>
  <c r="C8" i="59"/>
  <c r="E5" i="58"/>
  <c r="F5" i="58"/>
  <c r="G5" i="58"/>
  <c r="H5" i="58"/>
  <c r="I5" i="58"/>
  <c r="J5" i="58"/>
  <c r="K5" i="58"/>
  <c r="L5" i="58"/>
  <c r="M5" i="58"/>
  <c r="N5" i="58"/>
  <c r="O5" i="58"/>
  <c r="P5" i="58"/>
  <c r="C9" i="58"/>
  <c r="C8" i="58"/>
  <c r="E5" i="57"/>
  <c r="F5" i="57"/>
  <c r="G5" i="57"/>
  <c r="H5" i="57"/>
  <c r="I5" i="57"/>
  <c r="J5" i="57"/>
  <c r="K5" i="57"/>
  <c r="L5" i="57"/>
  <c r="M5" i="57"/>
  <c r="N5" i="57"/>
  <c r="O5" i="57"/>
  <c r="P5" i="57"/>
  <c r="C9" i="57"/>
  <c r="C8" i="57"/>
  <c r="E5" i="56"/>
  <c r="F5" i="56"/>
  <c r="G5" i="56"/>
  <c r="H5" i="56"/>
  <c r="I5" i="56"/>
  <c r="J5" i="56"/>
  <c r="K5" i="56"/>
  <c r="L5" i="56"/>
  <c r="M5" i="56"/>
  <c r="N5" i="56"/>
  <c r="O5" i="56"/>
  <c r="P5" i="56"/>
  <c r="C9" i="56"/>
  <c r="C8" i="56"/>
  <c r="E5" i="55"/>
  <c r="F5" i="55"/>
  <c r="G5" i="55"/>
  <c r="H5" i="55"/>
  <c r="I5" i="55"/>
  <c r="J5" i="55"/>
  <c r="K5" i="55"/>
  <c r="L5" i="55"/>
  <c r="M5" i="55"/>
  <c r="N5" i="55"/>
  <c r="O5" i="55"/>
  <c r="P5" i="55"/>
  <c r="C9" i="55"/>
  <c r="C8" i="55"/>
  <c r="Q6" i="79" l="1"/>
  <c r="Q91" i="4" s="1"/>
  <c r="Q6" i="67"/>
  <c r="Q77" i="4" s="1"/>
  <c r="N7" i="70"/>
  <c r="K7" i="75"/>
  <c r="K7" i="72"/>
  <c r="O7" i="77"/>
  <c r="H7" i="77"/>
  <c r="O7" i="86"/>
  <c r="E7" i="93"/>
  <c r="H7" i="97"/>
  <c r="K7" i="98"/>
  <c r="Q6" i="69"/>
  <c r="Q79" i="4" s="1"/>
  <c r="K7" i="63"/>
  <c r="P7" i="69"/>
  <c r="Q6" i="73"/>
  <c r="Q84" i="4" s="1"/>
  <c r="E7" i="75"/>
  <c r="M7" i="75"/>
  <c r="P7" i="76"/>
  <c r="Q6" i="87"/>
  <c r="Q99" i="4" s="1"/>
  <c r="E7" i="78"/>
  <c r="N7" i="81"/>
  <c r="E7" i="82"/>
  <c r="H7" i="83"/>
  <c r="J7" i="90"/>
  <c r="M7" i="91"/>
  <c r="Q6" i="89"/>
  <c r="Q102" i="4" s="1"/>
  <c r="E7" i="77"/>
  <c r="K7" i="107"/>
  <c r="I7" i="75"/>
  <c r="L7" i="76"/>
  <c r="J7" i="81"/>
  <c r="P7" i="83"/>
  <c r="Q6" i="99"/>
  <c r="Q112" i="4" s="1"/>
  <c r="O7" i="101"/>
  <c r="Q6" i="68"/>
  <c r="Q78" i="4" s="1"/>
  <c r="Q6" i="72"/>
  <c r="Q82" i="4" s="1"/>
  <c r="H7" i="75"/>
  <c r="Q6" i="78"/>
  <c r="Q90" i="4" s="1"/>
  <c r="K7" i="93"/>
  <c r="N7" i="89"/>
  <c r="E7" i="90"/>
  <c r="K7" i="92"/>
  <c r="H7" i="95"/>
  <c r="G7" i="107"/>
  <c r="O7" i="82"/>
  <c r="K7" i="86"/>
  <c r="L7" i="97"/>
  <c r="O7" i="98"/>
  <c r="Q6" i="88"/>
  <c r="Q101" i="4" s="1"/>
  <c r="O7" i="63"/>
  <c r="H7" i="69"/>
  <c r="H7" i="76"/>
  <c r="F7" i="85"/>
  <c r="N7" i="90"/>
  <c r="P7" i="74"/>
  <c r="P7" i="67"/>
  <c r="Q6" i="70"/>
  <c r="Q80" i="4" s="1"/>
  <c r="Q6" i="71"/>
  <c r="Q81" i="4" s="1"/>
  <c r="H7" i="65"/>
  <c r="K7" i="66"/>
  <c r="E7" i="68"/>
  <c r="E7" i="72"/>
  <c r="G7" i="76"/>
  <c r="G7" i="90"/>
  <c r="O7" i="93"/>
  <c r="K7" i="97"/>
  <c r="J7" i="89"/>
  <c r="G7" i="92"/>
  <c r="P7" i="95"/>
  <c r="M7" i="106"/>
  <c r="J7" i="70"/>
  <c r="L7" i="74"/>
  <c r="J7" i="83"/>
  <c r="E7" i="107"/>
  <c r="F7" i="104"/>
  <c r="O7" i="107"/>
  <c r="E7" i="76"/>
  <c r="E7" i="98"/>
  <c r="E7" i="69"/>
  <c r="E7" i="70"/>
  <c r="E7" i="92"/>
  <c r="E7" i="102"/>
  <c r="E7" i="64"/>
  <c r="E7" i="66"/>
  <c r="E7" i="80"/>
  <c r="E7" i="85"/>
  <c r="E7" i="67"/>
  <c r="E7" i="74"/>
  <c r="E7" i="106"/>
  <c r="G7" i="101"/>
  <c r="K7" i="101"/>
  <c r="G7" i="100"/>
  <c r="K7" i="100"/>
  <c r="O7" i="100"/>
  <c r="E7" i="91"/>
  <c r="G7" i="65"/>
  <c r="K7" i="65"/>
  <c r="O7" i="65"/>
  <c r="Q6" i="63"/>
  <c r="Q45" i="62"/>
  <c r="Q44" i="62"/>
  <c r="Q43" i="62"/>
  <c r="Q42" i="62"/>
  <c r="Q41" i="62"/>
  <c r="Q40" i="62"/>
  <c r="Q39" i="62"/>
  <c r="Q38" i="62"/>
  <c r="Q37" i="62"/>
  <c r="Q36" i="62"/>
  <c r="Q35" i="62"/>
  <c r="Q34" i="62"/>
  <c r="Q33" i="62"/>
  <c r="Q32" i="62"/>
  <c r="Q31" i="62"/>
  <c r="Q30" i="62"/>
  <c r="Q29" i="62"/>
  <c r="Q28" i="62"/>
  <c r="Q27" i="62"/>
  <c r="Q26" i="62"/>
  <c r="Q25" i="62"/>
  <c r="Q24" i="62"/>
  <c r="Q23" i="62"/>
  <c r="Q22" i="62"/>
  <c r="Q21" i="62"/>
  <c r="Q20" i="62"/>
  <c r="Q19" i="62"/>
  <c r="Q18" i="62"/>
  <c r="Q17" i="62"/>
  <c r="Q16" i="62"/>
  <c r="Q15" i="62"/>
  <c r="Q14" i="62"/>
  <c r="Q13" i="62"/>
  <c r="Q12" i="62"/>
  <c r="Q11" i="62"/>
  <c r="P6" i="62"/>
  <c r="O6" i="62"/>
  <c r="N6" i="62"/>
  <c r="M6" i="62"/>
  <c r="L6" i="62"/>
  <c r="K6" i="62"/>
  <c r="J6" i="62"/>
  <c r="I6" i="62"/>
  <c r="H6" i="62"/>
  <c r="G6" i="62"/>
  <c r="F6" i="62"/>
  <c r="E6" i="62"/>
  <c r="P7" i="62"/>
  <c r="O7" i="62"/>
  <c r="N7" i="62"/>
  <c r="M7" i="62"/>
  <c r="L7" i="62"/>
  <c r="K7" i="62"/>
  <c r="J7" i="62"/>
  <c r="I7" i="62"/>
  <c r="H7" i="62"/>
  <c r="G7" i="62"/>
  <c r="F7" i="62"/>
  <c r="E7" i="62"/>
  <c r="E2" i="62"/>
  <c r="Q45" i="61"/>
  <c r="Q44" i="61"/>
  <c r="Q43" i="61"/>
  <c r="Q42" i="61"/>
  <c r="Q41" i="61"/>
  <c r="Q40" i="61"/>
  <c r="Q39" i="61"/>
  <c r="Q38" i="61"/>
  <c r="Q37" i="61"/>
  <c r="Q36" i="61"/>
  <c r="Q35" i="61"/>
  <c r="Q34" i="61"/>
  <c r="Q33" i="61"/>
  <c r="Q32" i="61"/>
  <c r="Q31" i="61"/>
  <c r="Q30" i="61"/>
  <c r="Q29" i="61"/>
  <c r="Q28" i="61"/>
  <c r="Q27" i="61"/>
  <c r="Q26" i="61"/>
  <c r="Q25" i="61"/>
  <c r="Q24" i="61"/>
  <c r="Q23" i="61"/>
  <c r="Q22" i="61"/>
  <c r="Q21" i="61"/>
  <c r="Q20" i="61"/>
  <c r="Q19" i="61"/>
  <c r="Q18" i="61"/>
  <c r="Q17" i="61"/>
  <c r="Q16" i="61"/>
  <c r="Q15" i="61"/>
  <c r="Q14" i="61"/>
  <c r="Q13" i="61"/>
  <c r="Q12" i="61"/>
  <c r="Q11" i="61"/>
  <c r="P7" i="61"/>
  <c r="H7" i="61"/>
  <c r="P6" i="61"/>
  <c r="O6" i="61"/>
  <c r="O7" i="61" s="1"/>
  <c r="N6" i="61"/>
  <c r="N7" i="61" s="1"/>
  <c r="M6" i="61"/>
  <c r="M7" i="61" s="1"/>
  <c r="L6" i="61"/>
  <c r="L7" i="61" s="1"/>
  <c r="K6" i="61"/>
  <c r="J6" i="61"/>
  <c r="I6" i="61"/>
  <c r="H6" i="61"/>
  <c r="G6" i="61"/>
  <c r="G7" i="61" s="1"/>
  <c r="F6" i="61"/>
  <c r="E6" i="61"/>
  <c r="E7" i="61" s="1"/>
  <c r="K7" i="61"/>
  <c r="J7" i="61"/>
  <c r="I7" i="61"/>
  <c r="F7" i="61"/>
  <c r="E2" i="61"/>
  <c r="Q45" i="60"/>
  <c r="Q44" i="60"/>
  <c r="Q43" i="60"/>
  <c r="Q42" i="60"/>
  <c r="Q41" i="60"/>
  <c r="Q40" i="60"/>
  <c r="Q39" i="60"/>
  <c r="Q38" i="60"/>
  <c r="Q37" i="60"/>
  <c r="Q36" i="60"/>
  <c r="Q35" i="60"/>
  <c r="Q34" i="60"/>
  <c r="Q33" i="60"/>
  <c r="Q32" i="60"/>
  <c r="Q31" i="60"/>
  <c r="Q30" i="60"/>
  <c r="Q29" i="60"/>
  <c r="Q28" i="60"/>
  <c r="Q27" i="60"/>
  <c r="Q26" i="60"/>
  <c r="Q25" i="60"/>
  <c r="Q24" i="60"/>
  <c r="Q23" i="60"/>
  <c r="Q22" i="60"/>
  <c r="Q21" i="60"/>
  <c r="Q20" i="60"/>
  <c r="Q19" i="60"/>
  <c r="Q18" i="60"/>
  <c r="Q17" i="60"/>
  <c r="Q16" i="60"/>
  <c r="Q15" i="60"/>
  <c r="Q14" i="60"/>
  <c r="Q13" i="60"/>
  <c r="Q12" i="60"/>
  <c r="Q11" i="60"/>
  <c r="P6" i="60"/>
  <c r="O6" i="60"/>
  <c r="N6" i="60"/>
  <c r="M6" i="60"/>
  <c r="L6" i="60"/>
  <c r="K6" i="60"/>
  <c r="J6" i="60"/>
  <c r="I6" i="60"/>
  <c r="H6" i="60"/>
  <c r="G6" i="60"/>
  <c r="F6" i="60"/>
  <c r="E6" i="60"/>
  <c r="P7" i="60"/>
  <c r="O7" i="60"/>
  <c r="N7" i="60"/>
  <c r="M7" i="60"/>
  <c r="L7" i="60"/>
  <c r="K7" i="60"/>
  <c r="J7" i="60"/>
  <c r="I7" i="60"/>
  <c r="H7" i="60"/>
  <c r="G7" i="60"/>
  <c r="F7" i="60"/>
  <c r="E7" i="60"/>
  <c r="E2" i="60"/>
  <c r="Q45" i="59"/>
  <c r="Q44" i="59"/>
  <c r="Q43" i="59"/>
  <c r="Q42" i="59"/>
  <c r="Q41" i="59"/>
  <c r="Q40" i="59"/>
  <c r="Q39" i="59"/>
  <c r="Q38" i="59"/>
  <c r="Q37" i="59"/>
  <c r="Q36" i="59"/>
  <c r="Q35" i="59"/>
  <c r="Q34" i="59"/>
  <c r="Q33" i="59"/>
  <c r="Q32" i="59"/>
  <c r="Q31" i="59"/>
  <c r="Q30" i="59"/>
  <c r="Q29" i="59"/>
  <c r="Q28" i="59"/>
  <c r="Q27" i="59"/>
  <c r="Q26" i="59"/>
  <c r="Q25" i="59"/>
  <c r="Q24" i="59"/>
  <c r="Q23" i="59"/>
  <c r="Q22" i="59"/>
  <c r="Q21" i="59"/>
  <c r="Q20" i="59"/>
  <c r="Q19" i="59"/>
  <c r="Q18" i="59"/>
  <c r="Q17" i="59"/>
  <c r="Q16" i="59"/>
  <c r="Q15" i="59"/>
  <c r="Q14" i="59"/>
  <c r="Q13" i="59"/>
  <c r="Q12" i="59"/>
  <c r="Q11" i="59"/>
  <c r="P6" i="59"/>
  <c r="O6" i="59"/>
  <c r="N6" i="59"/>
  <c r="M6" i="59"/>
  <c r="L6" i="59"/>
  <c r="K6" i="59"/>
  <c r="J6" i="59"/>
  <c r="I6" i="59"/>
  <c r="H6" i="59"/>
  <c r="G6" i="59"/>
  <c r="F6" i="59"/>
  <c r="E6" i="59"/>
  <c r="E7" i="59" s="1"/>
  <c r="P7" i="59"/>
  <c r="O7" i="59"/>
  <c r="N7" i="59"/>
  <c r="M7" i="59"/>
  <c r="L7" i="59"/>
  <c r="K7" i="59"/>
  <c r="J7" i="59"/>
  <c r="I7" i="59"/>
  <c r="H7" i="59"/>
  <c r="G7" i="59"/>
  <c r="F7" i="59"/>
  <c r="E2" i="59"/>
  <c r="Q45" i="58"/>
  <c r="Q44" i="58"/>
  <c r="Q43" i="58"/>
  <c r="Q42" i="58"/>
  <c r="Q41" i="58"/>
  <c r="Q40" i="58"/>
  <c r="Q39" i="58"/>
  <c r="Q38" i="58"/>
  <c r="Q37" i="58"/>
  <c r="Q36" i="58"/>
  <c r="Q35" i="58"/>
  <c r="Q34" i="58"/>
  <c r="Q33" i="58"/>
  <c r="Q32" i="58"/>
  <c r="Q31" i="58"/>
  <c r="Q30" i="58"/>
  <c r="Q29" i="58"/>
  <c r="Q28" i="58"/>
  <c r="Q27" i="58"/>
  <c r="Q26" i="58"/>
  <c r="Q25" i="58"/>
  <c r="Q24" i="58"/>
  <c r="Q23" i="58"/>
  <c r="Q22" i="58"/>
  <c r="Q21" i="58"/>
  <c r="Q20" i="58"/>
  <c r="Q19" i="58"/>
  <c r="Q18" i="58"/>
  <c r="Q17" i="58"/>
  <c r="Q16" i="58"/>
  <c r="Q15" i="58"/>
  <c r="Q14" i="58"/>
  <c r="Q13" i="58"/>
  <c r="Q12" i="58"/>
  <c r="Q11" i="58"/>
  <c r="P6" i="58"/>
  <c r="O6" i="58"/>
  <c r="N6" i="58"/>
  <c r="M6" i="58"/>
  <c r="L6" i="58"/>
  <c r="K6" i="58"/>
  <c r="J6" i="58"/>
  <c r="I6" i="58"/>
  <c r="H6" i="58"/>
  <c r="G6" i="58"/>
  <c r="F6" i="58"/>
  <c r="E6" i="58"/>
  <c r="P7" i="58"/>
  <c r="O7" i="58"/>
  <c r="N7" i="58"/>
  <c r="M7" i="58"/>
  <c r="L7" i="58"/>
  <c r="K7" i="58"/>
  <c r="J7" i="58"/>
  <c r="I7" i="58"/>
  <c r="H7" i="58"/>
  <c r="G7" i="58"/>
  <c r="F7" i="58"/>
  <c r="E7" i="58"/>
  <c r="E2" i="58"/>
  <c r="Q45" i="57"/>
  <c r="Q44" i="57"/>
  <c r="Q43" i="57"/>
  <c r="Q42" i="57"/>
  <c r="Q41" i="57"/>
  <c r="Q40" i="57"/>
  <c r="Q39" i="57"/>
  <c r="Q38" i="57"/>
  <c r="Q37" i="57"/>
  <c r="Q36" i="57"/>
  <c r="Q35" i="57"/>
  <c r="Q34" i="57"/>
  <c r="Q33" i="57"/>
  <c r="Q32" i="57"/>
  <c r="Q31" i="57"/>
  <c r="Q30" i="57"/>
  <c r="Q29" i="57"/>
  <c r="Q28" i="57"/>
  <c r="Q27" i="57"/>
  <c r="Q26" i="57"/>
  <c r="Q25" i="57"/>
  <c r="Q24" i="57"/>
  <c r="Q23" i="57"/>
  <c r="Q22" i="57"/>
  <c r="Q21" i="57"/>
  <c r="Q20" i="57"/>
  <c r="Q19" i="57"/>
  <c r="Q18" i="57"/>
  <c r="Q17" i="57"/>
  <c r="Q16" i="57"/>
  <c r="Q15" i="57"/>
  <c r="Q14" i="57"/>
  <c r="Q13" i="57"/>
  <c r="Q12" i="57"/>
  <c r="Q11" i="57"/>
  <c r="P6" i="57"/>
  <c r="P7" i="57" s="1"/>
  <c r="O6" i="57"/>
  <c r="N6" i="57"/>
  <c r="N7" i="57" s="1"/>
  <c r="M6" i="57"/>
  <c r="M7" i="57" s="1"/>
  <c r="L6" i="57"/>
  <c r="L7" i="57" s="1"/>
  <c r="K6" i="57"/>
  <c r="K7" i="57" s="1"/>
  <c r="J6" i="57"/>
  <c r="I6" i="57"/>
  <c r="H6" i="57"/>
  <c r="H7" i="57" s="1"/>
  <c r="G6" i="57"/>
  <c r="F6" i="57"/>
  <c r="F7" i="57" s="1"/>
  <c r="E6" i="57"/>
  <c r="O7" i="57"/>
  <c r="J7" i="57"/>
  <c r="I7" i="57"/>
  <c r="G7" i="57"/>
  <c r="E7" i="57"/>
  <c r="E2" i="57"/>
  <c r="Q45" i="56"/>
  <c r="Q44" i="56"/>
  <c r="Q43" i="56"/>
  <c r="Q42" i="56"/>
  <c r="Q41" i="56"/>
  <c r="Q40" i="56"/>
  <c r="Q39" i="56"/>
  <c r="Q38" i="56"/>
  <c r="Q37" i="56"/>
  <c r="Q36" i="56"/>
  <c r="Q35" i="56"/>
  <c r="Q34" i="56"/>
  <c r="Q33" i="56"/>
  <c r="Q32" i="56"/>
  <c r="Q31" i="56"/>
  <c r="Q30" i="56"/>
  <c r="Q29" i="56"/>
  <c r="Q28" i="56"/>
  <c r="Q27" i="56"/>
  <c r="Q26" i="56"/>
  <c r="Q25" i="56"/>
  <c r="Q24" i="56"/>
  <c r="Q23" i="56"/>
  <c r="Q22" i="56"/>
  <c r="Q21" i="56"/>
  <c r="Q20" i="56"/>
  <c r="Q19" i="56"/>
  <c r="Q18" i="56"/>
  <c r="Q17" i="56"/>
  <c r="Q16" i="56"/>
  <c r="Q15" i="56"/>
  <c r="Q14" i="56"/>
  <c r="Q13" i="56"/>
  <c r="Q12" i="56"/>
  <c r="Q11" i="56"/>
  <c r="P6" i="56"/>
  <c r="O6" i="56"/>
  <c r="N6" i="56"/>
  <c r="M6" i="56"/>
  <c r="L6" i="56"/>
  <c r="K6" i="56"/>
  <c r="J6" i="56"/>
  <c r="I6" i="56"/>
  <c r="H6" i="56"/>
  <c r="H7" i="56" s="1"/>
  <c r="G6" i="56"/>
  <c r="F6" i="56"/>
  <c r="E6" i="56"/>
  <c r="P7" i="56"/>
  <c r="O7" i="56"/>
  <c r="N7" i="56"/>
  <c r="M7" i="56"/>
  <c r="L7" i="56"/>
  <c r="K7" i="56"/>
  <c r="J7" i="56"/>
  <c r="I7" i="56"/>
  <c r="G7" i="56"/>
  <c r="F7" i="56"/>
  <c r="E7" i="56"/>
  <c r="E2" i="56"/>
  <c r="Q45" i="55"/>
  <c r="Q44" i="55"/>
  <c r="Q43" i="55"/>
  <c r="Q42" i="55"/>
  <c r="Q41" i="55"/>
  <c r="Q40" i="55"/>
  <c r="Q39" i="55"/>
  <c r="Q38" i="55"/>
  <c r="Q37" i="55"/>
  <c r="Q36" i="55"/>
  <c r="Q35" i="55"/>
  <c r="Q34" i="55"/>
  <c r="Q33" i="55"/>
  <c r="Q32" i="55"/>
  <c r="Q31" i="55"/>
  <c r="Q30" i="55"/>
  <c r="Q29" i="55"/>
  <c r="Q28" i="55"/>
  <c r="Q27" i="55"/>
  <c r="Q26" i="55"/>
  <c r="Q25" i="55"/>
  <c r="Q24" i="55"/>
  <c r="Q23" i="55"/>
  <c r="Q22" i="55"/>
  <c r="Q21" i="55"/>
  <c r="Q20" i="55"/>
  <c r="Q19" i="55"/>
  <c r="Q18" i="55"/>
  <c r="Q17" i="55"/>
  <c r="Q16" i="55"/>
  <c r="Q15" i="55"/>
  <c r="Q14" i="55"/>
  <c r="Q13" i="55"/>
  <c r="Q12" i="55"/>
  <c r="Q11" i="55"/>
  <c r="P6" i="55"/>
  <c r="O6" i="55"/>
  <c r="N6" i="55"/>
  <c r="M6" i="55"/>
  <c r="L6" i="55"/>
  <c r="K6" i="55"/>
  <c r="J6" i="55"/>
  <c r="I6" i="55"/>
  <c r="H6" i="55"/>
  <c r="G6" i="55"/>
  <c r="F6" i="55"/>
  <c r="E6" i="55"/>
  <c r="E7" i="55" s="1"/>
  <c r="P7" i="55"/>
  <c r="O7" i="55"/>
  <c r="N7" i="55"/>
  <c r="M7" i="55"/>
  <c r="L7" i="55"/>
  <c r="K7" i="55"/>
  <c r="J7" i="55"/>
  <c r="I7" i="55"/>
  <c r="H7" i="55"/>
  <c r="G7" i="55"/>
  <c r="F7" i="55"/>
  <c r="E2" i="55"/>
  <c r="E5" i="54"/>
  <c r="F5" i="54"/>
  <c r="F7" i="54" s="1"/>
  <c r="G5" i="54"/>
  <c r="H5" i="54"/>
  <c r="H7" i="54" s="1"/>
  <c r="I5" i="54"/>
  <c r="J5" i="54"/>
  <c r="K5" i="54"/>
  <c r="K7" i="54" s="1"/>
  <c r="L5" i="54"/>
  <c r="L7" i="54" s="1"/>
  <c r="M5" i="54"/>
  <c r="M7" i="54" s="1"/>
  <c r="N5" i="54"/>
  <c r="O5" i="54"/>
  <c r="P5" i="54"/>
  <c r="P7" i="54" s="1"/>
  <c r="C9" i="54"/>
  <c r="C8" i="54"/>
  <c r="E5" i="53"/>
  <c r="F5" i="53"/>
  <c r="G5" i="53"/>
  <c r="H5" i="53"/>
  <c r="I5" i="53"/>
  <c r="I7" i="53" s="1"/>
  <c r="J5" i="53"/>
  <c r="J7" i="53" s="1"/>
  <c r="K5" i="53"/>
  <c r="L5" i="53"/>
  <c r="M5" i="53"/>
  <c r="M7" i="53" s="1"/>
  <c r="N5" i="53"/>
  <c r="O5" i="53"/>
  <c r="O7" i="53" s="1"/>
  <c r="P5" i="53"/>
  <c r="C9" i="53"/>
  <c r="C8" i="53"/>
  <c r="E5" i="52"/>
  <c r="F5" i="52"/>
  <c r="F7" i="52" s="1"/>
  <c r="G5" i="52"/>
  <c r="G7" i="52" s="1"/>
  <c r="H5" i="52"/>
  <c r="I5" i="52"/>
  <c r="J5" i="52"/>
  <c r="K5" i="52"/>
  <c r="L5" i="52"/>
  <c r="L7" i="52" s="1"/>
  <c r="M5" i="52"/>
  <c r="N5" i="52"/>
  <c r="N7" i="52" s="1"/>
  <c r="O5" i="52"/>
  <c r="P5" i="52"/>
  <c r="P7" i="52" s="1"/>
  <c r="C9" i="52"/>
  <c r="C8" i="52"/>
  <c r="E5" i="51"/>
  <c r="F5" i="51"/>
  <c r="G5" i="51"/>
  <c r="G7" i="51" s="1"/>
  <c r="H5" i="51"/>
  <c r="I5" i="51"/>
  <c r="J5" i="51"/>
  <c r="J7" i="51" s="1"/>
  <c r="K5" i="51"/>
  <c r="K7" i="51" s="1"/>
  <c r="L5" i="51"/>
  <c r="M5" i="51"/>
  <c r="N5" i="51"/>
  <c r="O5" i="51"/>
  <c r="O7" i="51" s="1"/>
  <c r="P5" i="51"/>
  <c r="P7" i="51" s="1"/>
  <c r="C9" i="51"/>
  <c r="C8" i="51"/>
  <c r="E5" i="50"/>
  <c r="F5" i="50"/>
  <c r="G5" i="50"/>
  <c r="H5" i="50"/>
  <c r="H7" i="50" s="1"/>
  <c r="I5" i="50"/>
  <c r="J5" i="50"/>
  <c r="J7" i="50" s="1"/>
  <c r="K5" i="50"/>
  <c r="K7" i="50" s="1"/>
  <c r="L5" i="50"/>
  <c r="M5" i="50"/>
  <c r="M7" i="50" s="1"/>
  <c r="N5" i="50"/>
  <c r="O5" i="50"/>
  <c r="P5" i="50"/>
  <c r="P7" i="50" s="1"/>
  <c r="C9" i="50"/>
  <c r="C8" i="50"/>
  <c r="E5" i="49"/>
  <c r="F5" i="49"/>
  <c r="G5" i="49"/>
  <c r="G7" i="49" s="1"/>
  <c r="H5" i="49"/>
  <c r="I5" i="49"/>
  <c r="J5" i="49"/>
  <c r="J7" i="49" s="1"/>
  <c r="K5" i="49"/>
  <c r="L5" i="49"/>
  <c r="M5" i="49"/>
  <c r="N5" i="49"/>
  <c r="O5" i="49"/>
  <c r="P5" i="49"/>
  <c r="C9" i="49"/>
  <c r="C8" i="49"/>
  <c r="E5" i="48"/>
  <c r="F5" i="48"/>
  <c r="G5" i="48"/>
  <c r="G7" i="48" s="1"/>
  <c r="H5" i="48"/>
  <c r="I5" i="48"/>
  <c r="J5" i="48"/>
  <c r="J7" i="48" s="1"/>
  <c r="K5" i="48"/>
  <c r="L5" i="48"/>
  <c r="L7" i="48" s="1"/>
  <c r="M5" i="48"/>
  <c r="N5" i="48"/>
  <c r="N7" i="48" s="1"/>
  <c r="O5" i="48"/>
  <c r="P5" i="48"/>
  <c r="P7" i="48" s="1"/>
  <c r="C9" i="48"/>
  <c r="C8" i="48"/>
  <c r="E5" i="47"/>
  <c r="F5" i="47"/>
  <c r="G5" i="47"/>
  <c r="G7" i="47" s="1"/>
  <c r="H5" i="47"/>
  <c r="I5" i="47"/>
  <c r="J5" i="47"/>
  <c r="K5" i="47"/>
  <c r="K7" i="47" s="1"/>
  <c r="L5" i="47"/>
  <c r="M5" i="47"/>
  <c r="N5" i="47"/>
  <c r="N7" i="47" s="1"/>
  <c r="O5" i="47"/>
  <c r="O7" i="47" s="1"/>
  <c r="P5" i="47"/>
  <c r="P7" i="47" s="1"/>
  <c r="C9" i="47"/>
  <c r="C8" i="47"/>
  <c r="E5" i="46"/>
  <c r="F5" i="46"/>
  <c r="G5" i="46"/>
  <c r="G7" i="46" s="1"/>
  <c r="H5" i="46"/>
  <c r="H7" i="46" s="1"/>
  <c r="I5" i="46"/>
  <c r="J5" i="46"/>
  <c r="J7" i="46" s="1"/>
  <c r="K5" i="46"/>
  <c r="L5" i="46"/>
  <c r="L7" i="46" s="1"/>
  <c r="M5" i="46"/>
  <c r="N5" i="46"/>
  <c r="O5" i="46"/>
  <c r="P5" i="46"/>
  <c r="P7" i="46" s="1"/>
  <c r="C9" i="46"/>
  <c r="C8" i="46"/>
  <c r="E5" i="45"/>
  <c r="F5" i="45"/>
  <c r="G5" i="45"/>
  <c r="H5" i="45"/>
  <c r="I5" i="45"/>
  <c r="J5" i="45"/>
  <c r="J7" i="45" s="1"/>
  <c r="K5" i="45"/>
  <c r="L5" i="45"/>
  <c r="M5" i="45"/>
  <c r="N5" i="45"/>
  <c r="O5" i="45"/>
  <c r="P5" i="45"/>
  <c r="C9" i="45"/>
  <c r="E5" i="44"/>
  <c r="F5" i="44"/>
  <c r="G5" i="44"/>
  <c r="G7" i="44" s="1"/>
  <c r="H5" i="44"/>
  <c r="H7" i="44" s="1"/>
  <c r="I5" i="44"/>
  <c r="J5" i="44"/>
  <c r="K5" i="44"/>
  <c r="K7" i="44" s="1"/>
  <c r="L5" i="44"/>
  <c r="M5" i="44"/>
  <c r="N5" i="44"/>
  <c r="O5" i="44"/>
  <c r="P5" i="44"/>
  <c r="C9" i="44"/>
  <c r="C8" i="44"/>
  <c r="E5" i="43"/>
  <c r="F5" i="43"/>
  <c r="G5" i="43"/>
  <c r="H5" i="43"/>
  <c r="H7" i="43" s="1"/>
  <c r="I5" i="43"/>
  <c r="J5" i="43"/>
  <c r="K5" i="43"/>
  <c r="L5" i="43"/>
  <c r="L7" i="43" s="1"/>
  <c r="M5" i="43"/>
  <c r="N5" i="43"/>
  <c r="O5" i="43"/>
  <c r="P5" i="43"/>
  <c r="P7" i="43" s="1"/>
  <c r="C9" i="43"/>
  <c r="C8" i="43"/>
  <c r="E5" i="42"/>
  <c r="F5" i="42"/>
  <c r="G5" i="42"/>
  <c r="H5" i="42"/>
  <c r="H7" i="42" s="1"/>
  <c r="I5" i="42"/>
  <c r="I7" i="42" s="1"/>
  <c r="J5" i="42"/>
  <c r="K5" i="42"/>
  <c r="L5" i="42"/>
  <c r="M5" i="42"/>
  <c r="M7" i="42" s="1"/>
  <c r="N5" i="42"/>
  <c r="N7" i="42" s="1"/>
  <c r="O5" i="42"/>
  <c r="P5" i="42"/>
  <c r="C9" i="42"/>
  <c r="C8" i="42"/>
  <c r="E5" i="41"/>
  <c r="F5" i="41"/>
  <c r="F7" i="41" s="1"/>
  <c r="G5" i="41"/>
  <c r="H5" i="41"/>
  <c r="I5" i="41"/>
  <c r="J5" i="41"/>
  <c r="K5" i="41"/>
  <c r="K7" i="41" s="1"/>
  <c r="L5" i="41"/>
  <c r="M5" i="41"/>
  <c r="N5" i="41"/>
  <c r="N7" i="41" s="1"/>
  <c r="O5" i="41"/>
  <c r="P5" i="41"/>
  <c r="C9" i="41"/>
  <c r="C8" i="41"/>
  <c r="E5" i="40"/>
  <c r="E7" i="40" s="1"/>
  <c r="F5" i="40"/>
  <c r="G5" i="40"/>
  <c r="H5" i="40"/>
  <c r="H7" i="40" s="1"/>
  <c r="I5" i="40"/>
  <c r="J5" i="40"/>
  <c r="K5" i="40"/>
  <c r="L5" i="40"/>
  <c r="M5" i="40"/>
  <c r="N5" i="40"/>
  <c r="N7" i="40" s="1"/>
  <c r="O5" i="40"/>
  <c r="P5" i="40"/>
  <c r="P7" i="40" s="1"/>
  <c r="C9" i="40"/>
  <c r="C8" i="40"/>
  <c r="E5" i="39"/>
  <c r="E7" i="39" s="1"/>
  <c r="F5" i="39"/>
  <c r="G5" i="39"/>
  <c r="H5" i="39"/>
  <c r="H7" i="39" s="1"/>
  <c r="I5" i="39"/>
  <c r="J5" i="39"/>
  <c r="J7" i="39" s="1"/>
  <c r="K5" i="39"/>
  <c r="L5" i="39"/>
  <c r="L7" i="39" s="1"/>
  <c r="M5" i="39"/>
  <c r="N5" i="39"/>
  <c r="N7" i="39" s="1"/>
  <c r="O5" i="39"/>
  <c r="P5" i="39"/>
  <c r="P7" i="39" s="1"/>
  <c r="C9" i="39"/>
  <c r="C8" i="39"/>
  <c r="E5" i="38"/>
  <c r="F5" i="38"/>
  <c r="G5" i="38"/>
  <c r="H5" i="38"/>
  <c r="I5" i="38"/>
  <c r="J5" i="38"/>
  <c r="K5" i="38"/>
  <c r="L5" i="38"/>
  <c r="M5" i="38"/>
  <c r="M7" i="38" s="1"/>
  <c r="N5" i="38"/>
  <c r="N7" i="38" s="1"/>
  <c r="O5" i="38"/>
  <c r="P5" i="38"/>
  <c r="C9" i="38"/>
  <c r="C8" i="38"/>
  <c r="Q45" i="54"/>
  <c r="Q44" i="54"/>
  <c r="Q43" i="54"/>
  <c r="Q42" i="54"/>
  <c r="Q41" i="54"/>
  <c r="Q40" i="54"/>
  <c r="Q39" i="54"/>
  <c r="Q38" i="54"/>
  <c r="Q37" i="54"/>
  <c r="Q36" i="54"/>
  <c r="Q35" i="54"/>
  <c r="Q34" i="54"/>
  <c r="Q33" i="54"/>
  <c r="Q32" i="54"/>
  <c r="Q31" i="54"/>
  <c r="Q30" i="54"/>
  <c r="Q29" i="54"/>
  <c r="Q28" i="54"/>
  <c r="Q27" i="54"/>
  <c r="Q26" i="54"/>
  <c r="Q25" i="54"/>
  <c r="Q24" i="54"/>
  <c r="Q23" i="54"/>
  <c r="Q22" i="54"/>
  <c r="Q21" i="54"/>
  <c r="Q20" i="54"/>
  <c r="Q19" i="54"/>
  <c r="Q18" i="54"/>
  <c r="Q17" i="54"/>
  <c r="Q16" i="54"/>
  <c r="Q15" i="54"/>
  <c r="Q14" i="54"/>
  <c r="Q13" i="54"/>
  <c r="Q12" i="54"/>
  <c r="Q11" i="54"/>
  <c r="P6" i="54"/>
  <c r="O6" i="54"/>
  <c r="N6" i="54"/>
  <c r="M6" i="54"/>
  <c r="L6" i="54"/>
  <c r="K6" i="54"/>
  <c r="J6" i="54"/>
  <c r="I6" i="54"/>
  <c r="I7" i="54" s="1"/>
  <c r="H6" i="54"/>
  <c r="G6" i="54"/>
  <c r="F6" i="54"/>
  <c r="E6" i="54"/>
  <c r="O7" i="54"/>
  <c r="G7" i="54"/>
  <c r="E2" i="54"/>
  <c r="Q45" i="53"/>
  <c r="Q44" i="53"/>
  <c r="Q43" i="53"/>
  <c r="Q42" i="53"/>
  <c r="Q41" i="53"/>
  <c r="Q40" i="53"/>
  <c r="Q39" i="53"/>
  <c r="Q38" i="53"/>
  <c r="Q37" i="53"/>
  <c r="Q36" i="53"/>
  <c r="Q35" i="53"/>
  <c r="Q34" i="53"/>
  <c r="Q33" i="53"/>
  <c r="Q32" i="53"/>
  <c r="Q31" i="53"/>
  <c r="Q30" i="53"/>
  <c r="Q29" i="53"/>
  <c r="Q28" i="53"/>
  <c r="Q27" i="53"/>
  <c r="Q26" i="53"/>
  <c r="Q25" i="53"/>
  <c r="Q24" i="53"/>
  <c r="Q23" i="53"/>
  <c r="Q22" i="53"/>
  <c r="Q6" i="53" s="1"/>
  <c r="Q61" i="4" s="1"/>
  <c r="Q21" i="53"/>
  <c r="Q20" i="53"/>
  <c r="Q19" i="53"/>
  <c r="Q18" i="53"/>
  <c r="Q17" i="53"/>
  <c r="Q16" i="53"/>
  <c r="Q15" i="53"/>
  <c r="Q14" i="53"/>
  <c r="Q13" i="53"/>
  <c r="Q12" i="53"/>
  <c r="Q11" i="53"/>
  <c r="P6" i="53"/>
  <c r="O6" i="53"/>
  <c r="N6" i="53"/>
  <c r="M6" i="53"/>
  <c r="L6" i="53"/>
  <c r="K6" i="53"/>
  <c r="J6" i="53"/>
  <c r="I6" i="53"/>
  <c r="H6" i="53"/>
  <c r="G6" i="53"/>
  <c r="F6" i="53"/>
  <c r="E6" i="53"/>
  <c r="P7" i="53"/>
  <c r="N7" i="53"/>
  <c r="L7" i="53"/>
  <c r="K7" i="53"/>
  <c r="H7" i="53"/>
  <c r="G7" i="53"/>
  <c r="F7" i="53"/>
  <c r="E2" i="53"/>
  <c r="Q45" i="52"/>
  <c r="Q44" i="52"/>
  <c r="Q43" i="52"/>
  <c r="Q42" i="52"/>
  <c r="Q41" i="52"/>
  <c r="Q40" i="52"/>
  <c r="Q39" i="52"/>
  <c r="Q38" i="52"/>
  <c r="Q37" i="52"/>
  <c r="Q36" i="52"/>
  <c r="Q35" i="52"/>
  <c r="Q34" i="52"/>
  <c r="Q33" i="52"/>
  <c r="Q32" i="52"/>
  <c r="Q31" i="52"/>
  <c r="Q30" i="52"/>
  <c r="Q29" i="52"/>
  <c r="Q28" i="52"/>
  <c r="Q27" i="52"/>
  <c r="Q26" i="52"/>
  <c r="Q25" i="52"/>
  <c r="Q24" i="52"/>
  <c r="Q23" i="52"/>
  <c r="Q22" i="52"/>
  <c r="Q6" i="52" s="1"/>
  <c r="Q60" i="4" s="1"/>
  <c r="Q21" i="52"/>
  <c r="Q20" i="52"/>
  <c r="Q19" i="52"/>
  <c r="Q18" i="52"/>
  <c r="Q17" i="52"/>
  <c r="Q16" i="52"/>
  <c r="Q15" i="52"/>
  <c r="Q14" i="52"/>
  <c r="Q13" i="52"/>
  <c r="Q12" i="52"/>
  <c r="Q11" i="52"/>
  <c r="P6" i="52"/>
  <c r="O6" i="52"/>
  <c r="N6" i="52"/>
  <c r="M6" i="52"/>
  <c r="L6" i="52"/>
  <c r="K6" i="52"/>
  <c r="J6" i="52"/>
  <c r="J7" i="52" s="1"/>
  <c r="I6" i="52"/>
  <c r="H6" i="52"/>
  <c r="H7" i="52" s="1"/>
  <c r="G6" i="52"/>
  <c r="F6" i="52"/>
  <c r="E6" i="52"/>
  <c r="M7" i="52"/>
  <c r="I7" i="52"/>
  <c r="E2" i="52"/>
  <c r="Q45" i="51"/>
  <c r="Q44" i="51"/>
  <c r="Q43" i="51"/>
  <c r="Q42" i="51"/>
  <c r="Q41" i="51"/>
  <c r="Q40" i="51"/>
  <c r="Q39" i="51"/>
  <c r="Q38" i="51"/>
  <c r="Q37" i="51"/>
  <c r="Q36" i="51"/>
  <c r="Q35" i="51"/>
  <c r="Q34" i="51"/>
  <c r="Q33" i="51"/>
  <c r="Q32" i="51"/>
  <c r="Q31" i="51"/>
  <c r="Q30" i="51"/>
  <c r="Q29" i="51"/>
  <c r="Q28" i="51"/>
  <c r="Q27" i="51"/>
  <c r="Q26" i="51"/>
  <c r="Q25" i="51"/>
  <c r="Q24" i="51"/>
  <c r="Q23" i="51"/>
  <c r="Q22" i="51"/>
  <c r="Q21" i="51"/>
  <c r="Q20" i="51"/>
  <c r="Q19" i="51"/>
  <c r="Q6" i="51" s="1"/>
  <c r="Q59" i="4" s="1"/>
  <c r="Q18" i="51"/>
  <c r="Q17" i="51"/>
  <c r="Q16" i="51"/>
  <c r="Q15" i="51"/>
  <c r="Q14" i="51"/>
  <c r="Q13" i="51"/>
  <c r="Q12" i="51"/>
  <c r="Q11" i="51"/>
  <c r="P6" i="51"/>
  <c r="O6" i="51"/>
  <c r="N6" i="51"/>
  <c r="N7" i="51" s="1"/>
  <c r="M6" i="51"/>
  <c r="L6" i="51"/>
  <c r="K6" i="51"/>
  <c r="J6" i="51"/>
  <c r="I6" i="51"/>
  <c r="H6" i="51"/>
  <c r="G6" i="51"/>
  <c r="F6" i="51"/>
  <c r="E6" i="51"/>
  <c r="E7" i="51" s="1"/>
  <c r="M7" i="51"/>
  <c r="I7" i="51"/>
  <c r="F7" i="51"/>
  <c r="E2" i="51"/>
  <c r="Q45" i="50"/>
  <c r="Q44" i="50"/>
  <c r="Q43" i="50"/>
  <c r="Q42" i="50"/>
  <c r="Q41" i="50"/>
  <c r="Q40" i="50"/>
  <c r="Q39" i="50"/>
  <c r="Q38" i="50"/>
  <c r="Q37" i="50"/>
  <c r="Q36" i="50"/>
  <c r="Q35" i="50"/>
  <c r="Q34" i="50"/>
  <c r="Q33" i="50"/>
  <c r="Q32" i="50"/>
  <c r="Q31" i="50"/>
  <c r="Q30" i="50"/>
  <c r="Q29" i="50"/>
  <c r="Q28" i="50"/>
  <c r="Q27" i="50"/>
  <c r="Q26" i="50"/>
  <c r="Q25" i="50"/>
  <c r="Q24" i="50"/>
  <c r="Q23" i="50"/>
  <c r="Q22" i="50"/>
  <c r="Q21" i="50"/>
  <c r="Q20" i="50"/>
  <c r="Q19" i="50"/>
  <c r="Q18" i="50"/>
  <c r="Q17" i="50"/>
  <c r="Q6" i="50" s="1"/>
  <c r="Q58" i="4" s="1"/>
  <c r="Q16" i="50"/>
  <c r="Q15" i="50"/>
  <c r="Q14" i="50"/>
  <c r="Q13" i="50"/>
  <c r="Q12" i="50"/>
  <c r="Q11" i="50"/>
  <c r="P6" i="50"/>
  <c r="O6" i="50"/>
  <c r="N6" i="50"/>
  <c r="M6" i="50"/>
  <c r="L6" i="50"/>
  <c r="L7" i="50" s="1"/>
  <c r="K6" i="50"/>
  <c r="J6" i="50"/>
  <c r="I6" i="50"/>
  <c r="H6" i="50"/>
  <c r="G6" i="50"/>
  <c r="F6" i="50"/>
  <c r="E6" i="50"/>
  <c r="O7" i="50"/>
  <c r="N7" i="50"/>
  <c r="I7" i="50"/>
  <c r="G7" i="50"/>
  <c r="F7" i="50"/>
  <c r="E2" i="50"/>
  <c r="Q45" i="49"/>
  <c r="Q44" i="49"/>
  <c r="Q43" i="49"/>
  <c r="Q42" i="49"/>
  <c r="Q41" i="49"/>
  <c r="Q40" i="49"/>
  <c r="Q39" i="49"/>
  <c r="Q38" i="49"/>
  <c r="Q37" i="49"/>
  <c r="Q36" i="49"/>
  <c r="Q35" i="49"/>
  <c r="Q34" i="49"/>
  <c r="Q33" i="49"/>
  <c r="Q32" i="49"/>
  <c r="Q31" i="49"/>
  <c r="Q30" i="49"/>
  <c r="Q29" i="49"/>
  <c r="Q28" i="49"/>
  <c r="Q27" i="49"/>
  <c r="Q26" i="49"/>
  <c r="Q25" i="49"/>
  <c r="Q24" i="49"/>
  <c r="Q23" i="49"/>
  <c r="Q22" i="49"/>
  <c r="Q21" i="49"/>
  <c r="Q20" i="49"/>
  <c r="Q19" i="49"/>
  <c r="Q18" i="49"/>
  <c r="Q17" i="49"/>
  <c r="Q16" i="49"/>
  <c r="Q15" i="49"/>
  <c r="Q14" i="49"/>
  <c r="Q13" i="49"/>
  <c r="Q12" i="49"/>
  <c r="Q11" i="49"/>
  <c r="P6" i="49"/>
  <c r="O6" i="49"/>
  <c r="N6" i="49"/>
  <c r="N7" i="49" s="1"/>
  <c r="M6" i="49"/>
  <c r="L6" i="49"/>
  <c r="K6" i="49"/>
  <c r="K7" i="49" s="1"/>
  <c r="J6" i="49"/>
  <c r="I6" i="49"/>
  <c r="H6" i="49"/>
  <c r="G6" i="49"/>
  <c r="F6" i="49"/>
  <c r="F7" i="49" s="1"/>
  <c r="E6" i="49"/>
  <c r="O7" i="49"/>
  <c r="M7" i="49"/>
  <c r="I7" i="49"/>
  <c r="E2" i="49"/>
  <c r="Q45" i="48"/>
  <c r="Q44" i="48"/>
  <c r="Q43" i="48"/>
  <c r="Q42" i="48"/>
  <c r="Q41" i="48"/>
  <c r="Q40" i="48"/>
  <c r="Q39" i="48"/>
  <c r="Q38" i="48"/>
  <c r="Q37" i="48"/>
  <c r="Q36" i="48"/>
  <c r="Q35" i="48"/>
  <c r="Q34" i="48"/>
  <c r="Q33" i="48"/>
  <c r="Q32" i="48"/>
  <c r="Q31" i="48"/>
  <c r="Q30" i="48"/>
  <c r="Q29" i="48"/>
  <c r="Q28" i="48"/>
  <c r="Q27" i="48"/>
  <c r="Q26" i="48"/>
  <c r="Q25" i="48"/>
  <c r="Q24" i="48"/>
  <c r="Q23" i="48"/>
  <c r="Q22" i="48"/>
  <c r="Q21" i="48"/>
  <c r="Q20" i="48"/>
  <c r="Q19" i="48"/>
  <c r="Q18" i="48"/>
  <c r="Q17" i="48"/>
  <c r="Q16" i="48"/>
  <c r="Q15" i="48"/>
  <c r="Q14" i="48"/>
  <c r="Q13" i="48"/>
  <c r="Q6" i="48" s="1"/>
  <c r="Q56" i="4" s="1"/>
  <c r="Q12" i="48"/>
  <c r="Q11" i="48"/>
  <c r="P6" i="48"/>
  <c r="O6" i="48"/>
  <c r="O7" i="48" s="1"/>
  <c r="N6" i="48"/>
  <c r="M6" i="48"/>
  <c r="M7" i="48" s="1"/>
  <c r="L6" i="48"/>
  <c r="K6" i="48"/>
  <c r="K7" i="48" s="1"/>
  <c r="J6" i="48"/>
  <c r="I6" i="48"/>
  <c r="I7" i="48" s="1"/>
  <c r="H6" i="48"/>
  <c r="G6" i="48"/>
  <c r="F6" i="48"/>
  <c r="E6" i="48"/>
  <c r="F7" i="48"/>
  <c r="E2" i="48"/>
  <c r="Q45" i="47"/>
  <c r="Q44" i="47"/>
  <c r="Q43" i="47"/>
  <c r="Q42" i="47"/>
  <c r="Q41" i="47"/>
  <c r="Q40" i="47"/>
  <c r="Q39" i="47"/>
  <c r="Q38" i="47"/>
  <c r="Q37" i="47"/>
  <c r="Q36" i="47"/>
  <c r="Q35" i="47"/>
  <c r="Q34" i="47"/>
  <c r="Q33" i="47"/>
  <c r="Q32" i="47"/>
  <c r="Q31" i="47"/>
  <c r="Q30" i="47"/>
  <c r="Q29" i="47"/>
  <c r="Q28" i="47"/>
  <c r="Q27" i="47"/>
  <c r="Q26" i="47"/>
  <c r="Q25" i="47"/>
  <c r="Q24" i="47"/>
  <c r="Q23" i="47"/>
  <c r="Q22" i="47"/>
  <c r="Q21" i="47"/>
  <c r="Q20" i="47"/>
  <c r="Q19" i="47"/>
  <c r="Q18" i="47"/>
  <c r="Q17" i="47"/>
  <c r="Q16" i="47"/>
  <c r="Q15" i="47"/>
  <c r="Q14" i="47"/>
  <c r="Q13" i="47"/>
  <c r="Q12" i="47"/>
  <c r="Q11" i="47"/>
  <c r="Q6" i="47"/>
  <c r="Q55" i="4" s="1"/>
  <c r="P6" i="47"/>
  <c r="O6" i="47"/>
  <c r="N6" i="47"/>
  <c r="M6" i="47"/>
  <c r="L6" i="47"/>
  <c r="L7" i="47" s="1"/>
  <c r="K6" i="47"/>
  <c r="J6" i="47"/>
  <c r="J7" i="47" s="1"/>
  <c r="I6" i="47"/>
  <c r="H6" i="47"/>
  <c r="H7" i="47" s="1"/>
  <c r="G6" i="47"/>
  <c r="F6" i="47"/>
  <c r="F7" i="47" s="1"/>
  <c r="E6" i="47"/>
  <c r="M7" i="47"/>
  <c r="I7" i="47"/>
  <c r="E2" i="47"/>
  <c r="Q45" i="46"/>
  <c r="Q44" i="46"/>
  <c r="Q43" i="46"/>
  <c r="Q42" i="46"/>
  <c r="Q41" i="46"/>
  <c r="Q40" i="46"/>
  <c r="Q39" i="46"/>
  <c r="Q38" i="46"/>
  <c r="Q37" i="46"/>
  <c r="Q36" i="46"/>
  <c r="Q35" i="46"/>
  <c r="Q34" i="46"/>
  <c r="Q33" i="46"/>
  <c r="Q32" i="46"/>
  <c r="Q31" i="46"/>
  <c r="Q30" i="46"/>
  <c r="Q29" i="46"/>
  <c r="Q28" i="46"/>
  <c r="Q27" i="46"/>
  <c r="Q26" i="46"/>
  <c r="Q25" i="46"/>
  <c r="Q24" i="46"/>
  <c r="Q23" i="46"/>
  <c r="Q22" i="46"/>
  <c r="Q21" i="46"/>
  <c r="Q20" i="46"/>
  <c r="Q19" i="46"/>
  <c r="Q6" i="46" s="1"/>
  <c r="Q54" i="4" s="1"/>
  <c r="Q18" i="46"/>
  <c r="Q17" i="46"/>
  <c r="Q16" i="46"/>
  <c r="Q15" i="46"/>
  <c r="Q14" i="46"/>
  <c r="Q13" i="46"/>
  <c r="Q12" i="46"/>
  <c r="Q11" i="46"/>
  <c r="P6" i="46"/>
  <c r="O6" i="46"/>
  <c r="O7" i="46" s="1"/>
  <c r="N6" i="46"/>
  <c r="N7" i="46" s="1"/>
  <c r="M6" i="46"/>
  <c r="L6" i="46"/>
  <c r="K6" i="46"/>
  <c r="K7" i="46" s="1"/>
  <c r="J6" i="46"/>
  <c r="I6" i="46"/>
  <c r="H6" i="46"/>
  <c r="G6" i="46"/>
  <c r="F6" i="46"/>
  <c r="E6" i="46"/>
  <c r="M7" i="46"/>
  <c r="I7" i="46"/>
  <c r="F7" i="46"/>
  <c r="E2" i="46"/>
  <c r="Q45" i="45"/>
  <c r="Q44" i="45"/>
  <c r="Q43" i="45"/>
  <c r="Q42" i="45"/>
  <c r="Q41" i="45"/>
  <c r="Q40" i="45"/>
  <c r="Q39" i="45"/>
  <c r="Q38" i="45"/>
  <c r="Q37" i="45"/>
  <c r="Q36" i="45"/>
  <c r="Q35" i="45"/>
  <c r="Q34" i="45"/>
  <c r="Q33" i="45"/>
  <c r="Q32" i="45"/>
  <c r="Q31" i="45"/>
  <c r="Q30" i="45"/>
  <c r="Q29" i="45"/>
  <c r="Q28" i="45"/>
  <c r="Q27" i="45"/>
  <c r="Q26" i="45"/>
  <c r="Q25" i="45"/>
  <c r="Q24" i="45"/>
  <c r="Q23" i="45"/>
  <c r="Q22" i="45"/>
  <c r="Q21" i="45"/>
  <c r="Q20" i="45"/>
  <c r="Q19" i="45"/>
  <c r="Q18" i="45"/>
  <c r="Q17" i="45"/>
  <c r="Q16" i="45"/>
  <c r="Q15" i="45"/>
  <c r="Q14" i="45"/>
  <c r="Q13" i="45"/>
  <c r="Q12" i="45"/>
  <c r="Q11" i="45"/>
  <c r="Q6" i="45" s="1"/>
  <c r="Q53" i="4" s="1"/>
  <c r="P6" i="45"/>
  <c r="O6" i="45"/>
  <c r="N6" i="45"/>
  <c r="N7" i="45" s="1"/>
  <c r="M6" i="45"/>
  <c r="L6" i="45"/>
  <c r="K6" i="45"/>
  <c r="K7" i="45" s="1"/>
  <c r="J6" i="45"/>
  <c r="I6" i="45"/>
  <c r="H6" i="45"/>
  <c r="G6" i="45"/>
  <c r="F6" i="45"/>
  <c r="F7" i="45" s="1"/>
  <c r="E6" i="45"/>
  <c r="O7" i="45"/>
  <c r="M7" i="45"/>
  <c r="I7" i="45"/>
  <c r="G7" i="45"/>
  <c r="E2" i="45"/>
  <c r="Q45" i="44"/>
  <c r="Q44" i="44"/>
  <c r="Q43" i="44"/>
  <c r="Q42" i="44"/>
  <c r="Q41" i="44"/>
  <c r="Q40" i="44"/>
  <c r="Q39" i="44"/>
  <c r="Q38" i="44"/>
  <c r="Q37" i="44"/>
  <c r="Q36" i="44"/>
  <c r="Q35" i="44"/>
  <c r="Q34" i="44"/>
  <c r="Q33" i="44"/>
  <c r="Q32" i="44"/>
  <c r="Q31" i="44"/>
  <c r="Q30" i="44"/>
  <c r="Q29" i="44"/>
  <c r="Q28" i="44"/>
  <c r="Q27" i="44"/>
  <c r="Q26" i="44"/>
  <c r="Q25" i="44"/>
  <c r="Q24" i="44"/>
  <c r="Q23" i="44"/>
  <c r="Q22" i="44"/>
  <c r="Q21" i="44"/>
  <c r="Q20" i="44"/>
  <c r="Q19" i="44"/>
  <c r="Q18" i="44"/>
  <c r="Q17" i="44"/>
  <c r="Q16" i="44"/>
  <c r="Q15" i="44"/>
  <c r="Q14" i="44"/>
  <c r="Q13" i="44"/>
  <c r="Q12" i="44"/>
  <c r="Q11" i="44"/>
  <c r="P6" i="44"/>
  <c r="O6" i="44"/>
  <c r="O7" i="44" s="1"/>
  <c r="N6" i="44"/>
  <c r="M6" i="44"/>
  <c r="M7" i="44" s="1"/>
  <c r="L6" i="44"/>
  <c r="K6" i="44"/>
  <c r="J6" i="44"/>
  <c r="J7" i="44" s="1"/>
  <c r="I6" i="44"/>
  <c r="H6" i="44"/>
  <c r="G6" i="44"/>
  <c r="F6" i="44"/>
  <c r="E6" i="44"/>
  <c r="E7" i="44" s="1"/>
  <c r="N7" i="44"/>
  <c r="I7" i="44"/>
  <c r="F7" i="44"/>
  <c r="E2" i="44"/>
  <c r="Q45" i="43"/>
  <c r="Q44" i="43"/>
  <c r="Q43" i="43"/>
  <c r="Q42" i="43"/>
  <c r="Q41" i="43"/>
  <c r="Q40" i="43"/>
  <c r="Q39" i="43"/>
  <c r="Q38" i="43"/>
  <c r="Q37" i="43"/>
  <c r="Q36" i="43"/>
  <c r="Q35" i="43"/>
  <c r="Q34" i="43"/>
  <c r="Q33" i="43"/>
  <c r="Q32" i="43"/>
  <c r="Q31" i="43"/>
  <c r="Q30" i="43"/>
  <c r="Q29" i="43"/>
  <c r="Q28" i="43"/>
  <c r="Q27" i="43"/>
  <c r="Q26" i="43"/>
  <c r="Q25" i="43"/>
  <c r="Q24" i="43"/>
  <c r="Q23" i="43"/>
  <c r="Q22" i="43"/>
  <c r="Q21" i="43"/>
  <c r="Q20" i="43"/>
  <c r="Q19" i="43"/>
  <c r="Q18" i="43"/>
  <c r="Q17" i="43"/>
  <c r="Q16" i="43"/>
  <c r="Q15" i="43"/>
  <c r="Q14" i="43"/>
  <c r="Q13" i="43"/>
  <c r="Q12" i="43"/>
  <c r="Q11" i="43"/>
  <c r="O7" i="43"/>
  <c r="K7" i="43"/>
  <c r="P6" i="43"/>
  <c r="O6" i="43"/>
  <c r="N6" i="43"/>
  <c r="M6" i="43"/>
  <c r="L6" i="43"/>
  <c r="K6" i="43"/>
  <c r="J6" i="43"/>
  <c r="I6" i="43"/>
  <c r="I7" i="43" s="1"/>
  <c r="H6" i="43"/>
  <c r="G6" i="43"/>
  <c r="G7" i="43" s="1"/>
  <c r="F6" i="43"/>
  <c r="F7" i="43" s="1"/>
  <c r="E6" i="43"/>
  <c r="M7" i="43"/>
  <c r="E2" i="43"/>
  <c r="Q45" i="42"/>
  <c r="Q44" i="42"/>
  <c r="Q43" i="42"/>
  <c r="Q42" i="42"/>
  <c r="Q41" i="42"/>
  <c r="Q40" i="42"/>
  <c r="Q39" i="42"/>
  <c r="Q38" i="42"/>
  <c r="Q37" i="42"/>
  <c r="Q36" i="42"/>
  <c r="Q35" i="42"/>
  <c r="Q34" i="42"/>
  <c r="Q33" i="42"/>
  <c r="Q32" i="42"/>
  <c r="Q31" i="42"/>
  <c r="Q30" i="42"/>
  <c r="Q29" i="42"/>
  <c r="Q28" i="42"/>
  <c r="Q27" i="42"/>
  <c r="Q26" i="42"/>
  <c r="Q25" i="42"/>
  <c r="Q24" i="42"/>
  <c r="Q23" i="42"/>
  <c r="Q22" i="42"/>
  <c r="Q21" i="42"/>
  <c r="Q20" i="42"/>
  <c r="Q19" i="42"/>
  <c r="Q18" i="42"/>
  <c r="Q17" i="42"/>
  <c r="Q16" i="42"/>
  <c r="Q15" i="42"/>
  <c r="Q14" i="42"/>
  <c r="Q13" i="42"/>
  <c r="Q12" i="42"/>
  <c r="Q11" i="42"/>
  <c r="P6" i="42"/>
  <c r="O6" i="42"/>
  <c r="N6" i="42"/>
  <c r="M6" i="42"/>
  <c r="L6" i="42"/>
  <c r="K6" i="42"/>
  <c r="J6" i="42"/>
  <c r="J7" i="42" s="1"/>
  <c r="I6" i="42"/>
  <c r="H6" i="42"/>
  <c r="G6" i="42"/>
  <c r="F6" i="42"/>
  <c r="E6" i="42"/>
  <c r="E7" i="42" s="1"/>
  <c r="P7" i="42"/>
  <c r="O7" i="42"/>
  <c r="L7" i="42"/>
  <c r="K7" i="42"/>
  <c r="G7" i="42"/>
  <c r="F7" i="42"/>
  <c r="E2" i="42"/>
  <c r="Q45" i="41"/>
  <c r="Q44" i="41"/>
  <c r="Q43" i="41"/>
  <c r="Q42" i="41"/>
  <c r="Q41" i="41"/>
  <c r="Q40" i="41"/>
  <c r="Q39" i="41"/>
  <c r="Q38" i="41"/>
  <c r="Q37" i="41"/>
  <c r="Q36" i="41"/>
  <c r="Q35" i="41"/>
  <c r="Q34" i="41"/>
  <c r="Q33" i="41"/>
  <c r="Q32" i="41"/>
  <c r="Q31" i="41"/>
  <c r="Q30" i="41"/>
  <c r="Q29" i="41"/>
  <c r="Q28" i="41"/>
  <c r="Q27" i="41"/>
  <c r="Q26" i="41"/>
  <c r="Q25" i="41"/>
  <c r="Q24" i="41"/>
  <c r="Q23" i="41"/>
  <c r="Q22" i="41"/>
  <c r="Q21" i="41"/>
  <c r="Q20" i="41"/>
  <c r="Q19" i="41"/>
  <c r="Q18" i="41"/>
  <c r="Q17" i="41"/>
  <c r="Q16" i="41"/>
  <c r="Q15" i="41"/>
  <c r="Q14" i="41"/>
  <c r="Q13" i="41"/>
  <c r="Q12" i="41"/>
  <c r="Q11" i="41"/>
  <c r="M7" i="41"/>
  <c r="I7" i="41"/>
  <c r="P6" i="41"/>
  <c r="O6" i="41"/>
  <c r="N6" i="41"/>
  <c r="M6" i="41"/>
  <c r="L6" i="41"/>
  <c r="L7" i="41" s="1"/>
  <c r="K6" i="41"/>
  <c r="J6" i="41"/>
  <c r="I6" i="41"/>
  <c r="H6" i="41"/>
  <c r="G6" i="41"/>
  <c r="F6" i="41"/>
  <c r="E6" i="41"/>
  <c r="O7" i="41"/>
  <c r="J7" i="41"/>
  <c r="G7" i="41"/>
  <c r="E2" i="41"/>
  <c r="Q45" i="40"/>
  <c r="Q44" i="40"/>
  <c r="Q43" i="40"/>
  <c r="Q42" i="40"/>
  <c r="Q41" i="40"/>
  <c r="Q40" i="40"/>
  <c r="Q39" i="40"/>
  <c r="Q38" i="40"/>
  <c r="Q37" i="40"/>
  <c r="Q36" i="40"/>
  <c r="Q35" i="40"/>
  <c r="Q34" i="40"/>
  <c r="Q33" i="40"/>
  <c r="Q32" i="40"/>
  <c r="Q31" i="40"/>
  <c r="Q30" i="40"/>
  <c r="Q29" i="40"/>
  <c r="Q28" i="40"/>
  <c r="Q27" i="40"/>
  <c r="Q26" i="40"/>
  <c r="Q25" i="40"/>
  <c r="Q24" i="40"/>
  <c r="Q23" i="40"/>
  <c r="Q22" i="40"/>
  <c r="Q21" i="40"/>
  <c r="Q20" i="40"/>
  <c r="Q19" i="40"/>
  <c r="Q18" i="40"/>
  <c r="Q17" i="40"/>
  <c r="Q16" i="40"/>
  <c r="Q15" i="40"/>
  <c r="Q14" i="40"/>
  <c r="Q13" i="40"/>
  <c r="Q12" i="40"/>
  <c r="Q11" i="40"/>
  <c r="P6" i="40"/>
  <c r="O6" i="40"/>
  <c r="N6" i="40"/>
  <c r="M6" i="40"/>
  <c r="L6" i="40"/>
  <c r="K6" i="40"/>
  <c r="J6" i="40"/>
  <c r="I6" i="40"/>
  <c r="H6" i="40"/>
  <c r="G6" i="40"/>
  <c r="F6" i="40"/>
  <c r="F7" i="40" s="1"/>
  <c r="E6" i="40"/>
  <c r="O7" i="40"/>
  <c r="M7" i="40"/>
  <c r="L7" i="40"/>
  <c r="K7" i="40"/>
  <c r="J7" i="40"/>
  <c r="I7" i="40"/>
  <c r="G7" i="40"/>
  <c r="E2" i="40"/>
  <c r="Q45" i="39"/>
  <c r="Q44" i="39"/>
  <c r="Q43" i="39"/>
  <c r="Q42" i="39"/>
  <c r="Q41" i="39"/>
  <c r="Q40" i="39"/>
  <c r="Q39" i="39"/>
  <c r="Q38" i="39"/>
  <c r="Q37" i="39"/>
  <c r="Q36" i="39"/>
  <c r="Q35" i="39"/>
  <c r="Q34" i="39"/>
  <c r="Q33" i="39"/>
  <c r="Q32" i="39"/>
  <c r="Q31" i="39"/>
  <c r="Q30" i="39"/>
  <c r="Q29" i="39"/>
  <c r="Q28" i="39"/>
  <c r="Q27" i="39"/>
  <c r="Q26" i="39"/>
  <c r="Q25" i="39"/>
  <c r="Q24" i="39"/>
  <c r="Q23" i="39"/>
  <c r="Q22" i="39"/>
  <c r="Q21" i="39"/>
  <c r="Q20" i="39"/>
  <c r="Q19" i="39"/>
  <c r="Q18" i="39"/>
  <c r="Q17" i="39"/>
  <c r="Q16" i="39"/>
  <c r="Q15" i="39"/>
  <c r="Q14" i="39"/>
  <c r="Q13" i="39"/>
  <c r="Q12" i="39"/>
  <c r="Q11" i="39"/>
  <c r="P6" i="39"/>
  <c r="O6" i="39"/>
  <c r="N6" i="39"/>
  <c r="M6" i="39"/>
  <c r="L6" i="39"/>
  <c r="K6" i="39"/>
  <c r="J6" i="39"/>
  <c r="I6" i="39"/>
  <c r="H6" i="39"/>
  <c r="G6" i="39"/>
  <c r="F6" i="39"/>
  <c r="E6" i="39"/>
  <c r="O7" i="39"/>
  <c r="M7" i="39"/>
  <c r="K7" i="39"/>
  <c r="I7" i="39"/>
  <c r="G7" i="39"/>
  <c r="F7" i="39"/>
  <c r="E2" i="39"/>
  <c r="Q45" i="38"/>
  <c r="Q44" i="38"/>
  <c r="Q43" i="38"/>
  <c r="Q42" i="38"/>
  <c r="Q41" i="38"/>
  <c r="Q40" i="38"/>
  <c r="Q39" i="38"/>
  <c r="Q38" i="38"/>
  <c r="Q37" i="38"/>
  <c r="Q36" i="38"/>
  <c r="Q35" i="38"/>
  <c r="Q34" i="38"/>
  <c r="Q33" i="38"/>
  <c r="Q32" i="38"/>
  <c r="Q31" i="38"/>
  <c r="Q30" i="38"/>
  <c r="Q29" i="38"/>
  <c r="Q28" i="38"/>
  <c r="Q27" i="38"/>
  <c r="Q26" i="38"/>
  <c r="Q25" i="38"/>
  <c r="Q24" i="38"/>
  <c r="Q23" i="38"/>
  <c r="Q22" i="38"/>
  <c r="Q21" i="38"/>
  <c r="Q20" i="38"/>
  <c r="Q19" i="38"/>
  <c r="Q18" i="38"/>
  <c r="Q17" i="38"/>
  <c r="Q16" i="38"/>
  <c r="Q15" i="38"/>
  <c r="Q14" i="38"/>
  <c r="Q13" i="38"/>
  <c r="Q12" i="38"/>
  <c r="Q11" i="38"/>
  <c r="P6" i="38"/>
  <c r="O6" i="38"/>
  <c r="N6" i="38"/>
  <c r="M6" i="38"/>
  <c r="L6" i="38"/>
  <c r="K6" i="38"/>
  <c r="J6" i="38"/>
  <c r="I6" i="38"/>
  <c r="H6" i="38"/>
  <c r="G6" i="38"/>
  <c r="F6" i="38"/>
  <c r="F7" i="38" s="1"/>
  <c r="E6" i="38"/>
  <c r="E7" i="38" s="1"/>
  <c r="P7" i="38"/>
  <c r="O7" i="38"/>
  <c r="L7" i="38"/>
  <c r="K7" i="38"/>
  <c r="J7" i="38"/>
  <c r="I7" i="38"/>
  <c r="H7" i="38"/>
  <c r="G7" i="38"/>
  <c r="E2" i="38"/>
  <c r="E5" i="37"/>
  <c r="F5" i="37"/>
  <c r="G5" i="37"/>
  <c r="H5" i="37"/>
  <c r="H7" i="37" s="1"/>
  <c r="I5" i="37"/>
  <c r="I7" i="37" s="1"/>
  <c r="J5" i="37"/>
  <c r="K5" i="37"/>
  <c r="L5" i="37"/>
  <c r="M5" i="37"/>
  <c r="M7" i="37" s="1"/>
  <c r="N5" i="37"/>
  <c r="N7" i="37" s="1"/>
  <c r="O5" i="37"/>
  <c r="P5" i="37"/>
  <c r="C9" i="37"/>
  <c r="C8" i="37"/>
  <c r="E5" i="36"/>
  <c r="F5" i="36"/>
  <c r="G5" i="36"/>
  <c r="G7" i="36" s="1"/>
  <c r="H5" i="36"/>
  <c r="I5" i="36"/>
  <c r="J5" i="36"/>
  <c r="J7" i="36" s="1"/>
  <c r="K5" i="36"/>
  <c r="K7" i="36" s="1"/>
  <c r="L5" i="36"/>
  <c r="L7" i="36" s="1"/>
  <c r="M5" i="36"/>
  <c r="N5" i="36"/>
  <c r="O5" i="36"/>
  <c r="P5" i="36"/>
  <c r="C9" i="36"/>
  <c r="C8" i="36"/>
  <c r="E5" i="35"/>
  <c r="F5" i="35"/>
  <c r="G5" i="35"/>
  <c r="G7" i="35" s="1"/>
  <c r="H5" i="35"/>
  <c r="H7" i="35" s="1"/>
  <c r="I5" i="35"/>
  <c r="J5" i="35"/>
  <c r="K5" i="35"/>
  <c r="L5" i="35"/>
  <c r="M5" i="35"/>
  <c r="N5" i="35"/>
  <c r="N7" i="35" s="1"/>
  <c r="O5" i="35"/>
  <c r="P5" i="35"/>
  <c r="P7" i="35" s="1"/>
  <c r="C9" i="35"/>
  <c r="C8" i="35"/>
  <c r="E5" i="34"/>
  <c r="F5" i="34"/>
  <c r="G5" i="34"/>
  <c r="H5" i="34"/>
  <c r="H7" i="34" s="1"/>
  <c r="I5" i="34"/>
  <c r="J5" i="34"/>
  <c r="K5" i="34"/>
  <c r="L5" i="34"/>
  <c r="L7" i="34" s="1"/>
  <c r="M5" i="34"/>
  <c r="N5" i="34"/>
  <c r="N7" i="34" s="1"/>
  <c r="O5" i="34"/>
  <c r="P5" i="34"/>
  <c r="C9" i="34"/>
  <c r="C8" i="34"/>
  <c r="E5" i="33"/>
  <c r="F5" i="33"/>
  <c r="G5" i="33"/>
  <c r="H5" i="33"/>
  <c r="I5" i="33"/>
  <c r="I7" i="33" s="1"/>
  <c r="J5" i="33"/>
  <c r="K5" i="33"/>
  <c r="L5" i="33"/>
  <c r="M5" i="33"/>
  <c r="M7" i="33" s="1"/>
  <c r="N5" i="33"/>
  <c r="N7" i="33" s="1"/>
  <c r="O5" i="33"/>
  <c r="P5" i="33"/>
  <c r="C9" i="33"/>
  <c r="C8" i="33"/>
  <c r="E5" i="32"/>
  <c r="E7" i="32" s="1"/>
  <c r="F5" i="32"/>
  <c r="G5" i="32"/>
  <c r="H5" i="32"/>
  <c r="H7" i="32" s="1"/>
  <c r="I5" i="32"/>
  <c r="J5" i="32"/>
  <c r="J7" i="32" s="1"/>
  <c r="K5" i="32"/>
  <c r="L5" i="32"/>
  <c r="L7" i="32" s="1"/>
  <c r="M5" i="32"/>
  <c r="N5" i="32"/>
  <c r="N7" i="32" s="1"/>
  <c r="O5" i="32"/>
  <c r="P5" i="32"/>
  <c r="P7" i="32" s="1"/>
  <c r="C9" i="32"/>
  <c r="C8" i="32"/>
  <c r="E5" i="31"/>
  <c r="F5" i="31"/>
  <c r="F7" i="31" s="1"/>
  <c r="G5" i="31"/>
  <c r="G7" i="31" s="1"/>
  <c r="H5" i="31"/>
  <c r="H7" i="31" s="1"/>
  <c r="I5" i="31"/>
  <c r="I7" i="31" s="1"/>
  <c r="J5" i="31"/>
  <c r="K5" i="31"/>
  <c r="L5" i="31"/>
  <c r="M5" i="31"/>
  <c r="N5" i="31"/>
  <c r="N7" i="31" s="1"/>
  <c r="O5" i="31"/>
  <c r="P5" i="31"/>
  <c r="C9" i="31"/>
  <c r="C8" i="31"/>
  <c r="E5" i="30"/>
  <c r="F5" i="30"/>
  <c r="G5" i="30"/>
  <c r="H5" i="30"/>
  <c r="I5" i="30"/>
  <c r="J5" i="30"/>
  <c r="K5" i="30"/>
  <c r="L5" i="30"/>
  <c r="L7" i="30" s="1"/>
  <c r="M5" i="30"/>
  <c r="N5" i="30"/>
  <c r="N7" i="30" s="1"/>
  <c r="O5" i="30"/>
  <c r="P5" i="30"/>
  <c r="P7" i="30" s="1"/>
  <c r="C9" i="30"/>
  <c r="C8" i="30"/>
  <c r="E5" i="29"/>
  <c r="F5" i="29"/>
  <c r="G5" i="29"/>
  <c r="H5" i="29"/>
  <c r="I5" i="29"/>
  <c r="J5" i="29"/>
  <c r="K5" i="29"/>
  <c r="K7" i="29" s="1"/>
  <c r="L5" i="29"/>
  <c r="M5" i="29"/>
  <c r="M7" i="29" s="1"/>
  <c r="N5" i="29"/>
  <c r="N7" i="29" s="1"/>
  <c r="O5" i="29"/>
  <c r="P5" i="29"/>
  <c r="C9" i="29"/>
  <c r="C8" i="29"/>
  <c r="E5" i="28"/>
  <c r="E7" i="28" s="1"/>
  <c r="F5" i="28"/>
  <c r="G5" i="28"/>
  <c r="H5" i="28"/>
  <c r="H7" i="28" s="1"/>
  <c r="I5" i="28"/>
  <c r="I7" i="28" s="1"/>
  <c r="J5" i="28"/>
  <c r="K5" i="28"/>
  <c r="K7" i="28" s="1"/>
  <c r="L5" i="28"/>
  <c r="M5" i="28"/>
  <c r="N5" i="28"/>
  <c r="O5" i="28"/>
  <c r="P5" i="28"/>
  <c r="C9" i="28"/>
  <c r="C8" i="28"/>
  <c r="E5" i="27"/>
  <c r="F5" i="27"/>
  <c r="F7" i="27" s="1"/>
  <c r="G5" i="27"/>
  <c r="G7" i="27" s="1"/>
  <c r="H5" i="27"/>
  <c r="H7" i="27" s="1"/>
  <c r="I5" i="27"/>
  <c r="J5" i="27"/>
  <c r="K5" i="27"/>
  <c r="L5" i="27"/>
  <c r="M5" i="27"/>
  <c r="N5" i="27"/>
  <c r="O5" i="27"/>
  <c r="P5" i="27"/>
  <c r="C9" i="27"/>
  <c r="C8" i="27"/>
  <c r="E5" i="26"/>
  <c r="E7" i="26" s="1"/>
  <c r="F5" i="26"/>
  <c r="G5" i="26"/>
  <c r="H5" i="26"/>
  <c r="H7" i="26" s="1"/>
  <c r="I5" i="26"/>
  <c r="J5" i="26"/>
  <c r="K5" i="26"/>
  <c r="L5" i="26"/>
  <c r="M5" i="26"/>
  <c r="N5" i="26"/>
  <c r="O5" i="26"/>
  <c r="P5" i="26"/>
  <c r="P7" i="26" s="1"/>
  <c r="C9" i="26"/>
  <c r="C8" i="26"/>
  <c r="E5" i="25"/>
  <c r="F5" i="25"/>
  <c r="G5" i="25"/>
  <c r="G7" i="25" s="1"/>
  <c r="H5" i="25"/>
  <c r="I5" i="25"/>
  <c r="J5" i="25"/>
  <c r="K5" i="25"/>
  <c r="L5" i="25"/>
  <c r="L7" i="25" s="1"/>
  <c r="M5" i="25"/>
  <c r="M7" i="25" s="1"/>
  <c r="N5" i="25"/>
  <c r="O5" i="25"/>
  <c r="P5" i="25"/>
  <c r="P7" i="25" s="1"/>
  <c r="C9" i="25"/>
  <c r="C8" i="25"/>
  <c r="E5" i="24"/>
  <c r="F5" i="24"/>
  <c r="F7" i="24" s="1"/>
  <c r="G5" i="24"/>
  <c r="H5" i="24"/>
  <c r="I5" i="24"/>
  <c r="I7" i="24" s="1"/>
  <c r="J5" i="24"/>
  <c r="J7" i="24" s="1"/>
  <c r="K5" i="24"/>
  <c r="K7" i="24" s="1"/>
  <c r="L5" i="24"/>
  <c r="M5" i="24"/>
  <c r="N5" i="24"/>
  <c r="N7" i="24" s="1"/>
  <c r="O5" i="24"/>
  <c r="P5" i="24"/>
  <c r="C9" i="24"/>
  <c r="C8" i="24"/>
  <c r="Q45" i="37"/>
  <c r="Q44" i="37"/>
  <c r="Q43" i="37"/>
  <c r="Q42" i="37"/>
  <c r="Q41" i="37"/>
  <c r="Q40" i="37"/>
  <c r="Q39" i="37"/>
  <c r="Q38" i="37"/>
  <c r="Q37" i="37"/>
  <c r="Q36" i="37"/>
  <c r="Q35" i="37"/>
  <c r="Q34" i="37"/>
  <c r="Q33" i="37"/>
  <c r="Q32" i="37"/>
  <c r="Q31" i="37"/>
  <c r="Q30" i="37"/>
  <c r="Q29" i="37"/>
  <c r="Q28" i="37"/>
  <c r="Q27" i="37"/>
  <c r="Q26" i="37"/>
  <c r="Q25" i="37"/>
  <c r="Q24" i="37"/>
  <c r="Q23" i="37"/>
  <c r="Q22" i="37"/>
  <c r="Q21" i="37"/>
  <c r="Q20" i="37"/>
  <c r="Q19" i="37"/>
  <c r="Q18" i="37"/>
  <c r="Q17" i="37"/>
  <c r="Q16" i="37"/>
  <c r="Q15" i="37"/>
  <c r="Q14" i="37"/>
  <c r="Q6" i="37" s="1"/>
  <c r="Q44" i="4" s="1"/>
  <c r="Q13" i="37"/>
  <c r="Q12" i="37"/>
  <c r="Q11" i="37"/>
  <c r="P6" i="37"/>
  <c r="O6" i="37"/>
  <c r="O7" i="37" s="1"/>
  <c r="N6" i="37"/>
  <c r="M6" i="37"/>
  <c r="L6" i="37"/>
  <c r="L7" i="37" s="1"/>
  <c r="K6" i="37"/>
  <c r="J6" i="37"/>
  <c r="I6" i="37"/>
  <c r="H6" i="37"/>
  <c r="G6" i="37"/>
  <c r="G7" i="37" s="1"/>
  <c r="F6" i="37"/>
  <c r="E6" i="37"/>
  <c r="P7" i="37"/>
  <c r="J7" i="37"/>
  <c r="F7" i="37"/>
  <c r="E2" i="37"/>
  <c r="Q45" i="36"/>
  <c r="Q44" i="36"/>
  <c r="Q43" i="36"/>
  <c r="Q42" i="36"/>
  <c r="Q41" i="36"/>
  <c r="Q40" i="36"/>
  <c r="Q39" i="36"/>
  <c r="Q38" i="36"/>
  <c r="Q37" i="36"/>
  <c r="Q36" i="36"/>
  <c r="Q35" i="36"/>
  <c r="Q34" i="36"/>
  <c r="Q33" i="36"/>
  <c r="Q32" i="36"/>
  <c r="Q31" i="36"/>
  <c r="Q30" i="36"/>
  <c r="Q29" i="36"/>
  <c r="Q28" i="36"/>
  <c r="Q27" i="36"/>
  <c r="Q26" i="36"/>
  <c r="Q25" i="36"/>
  <c r="Q24" i="36"/>
  <c r="Q23" i="36"/>
  <c r="Q22" i="36"/>
  <c r="Q21" i="36"/>
  <c r="Q20" i="36"/>
  <c r="Q19" i="36"/>
  <c r="Q18" i="36"/>
  <c r="Q17" i="36"/>
  <c r="Q16" i="36"/>
  <c r="Q15" i="36"/>
  <c r="Q14" i="36"/>
  <c r="Q13" i="36"/>
  <c r="Q12" i="36"/>
  <c r="Q11" i="36"/>
  <c r="Q6" i="36" s="1"/>
  <c r="Q43" i="4" s="1"/>
  <c r="P6" i="36"/>
  <c r="O6" i="36"/>
  <c r="N6" i="36"/>
  <c r="N7" i="36" s="1"/>
  <c r="M6" i="36"/>
  <c r="L6" i="36"/>
  <c r="K6" i="36"/>
  <c r="J6" i="36"/>
  <c r="I6" i="36"/>
  <c r="I7" i="36" s="1"/>
  <c r="H6" i="36"/>
  <c r="G6" i="36"/>
  <c r="F6" i="36"/>
  <c r="E6" i="36"/>
  <c r="P7" i="36"/>
  <c r="M7" i="36"/>
  <c r="H7" i="36"/>
  <c r="F7" i="36"/>
  <c r="E2" i="36"/>
  <c r="Q45" i="35"/>
  <c r="Q44" i="35"/>
  <c r="Q43" i="35"/>
  <c r="Q42" i="35"/>
  <c r="Q41" i="35"/>
  <c r="Q40" i="35"/>
  <c r="Q39" i="35"/>
  <c r="Q38" i="35"/>
  <c r="Q37" i="35"/>
  <c r="Q36" i="35"/>
  <c r="Q35" i="35"/>
  <c r="Q34" i="35"/>
  <c r="Q33" i="35"/>
  <c r="Q32" i="35"/>
  <c r="Q31" i="35"/>
  <c r="Q30" i="35"/>
  <c r="Q29" i="35"/>
  <c r="Q28" i="35"/>
  <c r="Q27" i="35"/>
  <c r="Q26" i="35"/>
  <c r="Q25" i="35"/>
  <c r="Q24" i="35"/>
  <c r="Q23" i="35"/>
  <c r="Q22" i="35"/>
  <c r="Q21" i="35"/>
  <c r="Q20" i="35"/>
  <c r="Q19" i="35"/>
  <c r="Q18" i="35"/>
  <c r="Q17" i="35"/>
  <c r="Q16" i="35"/>
  <c r="Q15" i="35"/>
  <c r="Q14" i="35"/>
  <c r="Q13" i="35"/>
  <c r="Q12" i="35"/>
  <c r="Q11" i="35"/>
  <c r="Q6" i="35" s="1"/>
  <c r="Q42" i="4" s="1"/>
  <c r="P6" i="35"/>
  <c r="O6" i="35"/>
  <c r="N6" i="35"/>
  <c r="M6" i="35"/>
  <c r="L6" i="35"/>
  <c r="L7" i="35" s="1"/>
  <c r="K6" i="35"/>
  <c r="K7" i="35" s="1"/>
  <c r="J6" i="35"/>
  <c r="I6" i="35"/>
  <c r="H6" i="35"/>
  <c r="G6" i="35"/>
  <c r="F6" i="35"/>
  <c r="F7" i="35" s="1"/>
  <c r="E6" i="35"/>
  <c r="O7" i="35"/>
  <c r="J7" i="35"/>
  <c r="E2" i="35"/>
  <c r="Q45" i="34"/>
  <c r="Q44" i="34"/>
  <c r="Q43" i="34"/>
  <c r="Q42" i="34"/>
  <c r="Q41" i="34"/>
  <c r="Q40" i="34"/>
  <c r="Q39" i="34"/>
  <c r="Q38" i="34"/>
  <c r="Q37" i="34"/>
  <c r="Q36" i="34"/>
  <c r="Q35" i="34"/>
  <c r="Q34" i="34"/>
  <c r="Q33" i="34"/>
  <c r="Q32" i="34"/>
  <c r="Q31" i="34"/>
  <c r="Q30" i="34"/>
  <c r="Q29" i="34"/>
  <c r="Q28" i="34"/>
  <c r="Q27" i="34"/>
  <c r="Q26" i="34"/>
  <c r="Q25" i="34"/>
  <c r="Q24" i="34"/>
  <c r="Q23" i="34"/>
  <c r="Q22" i="34"/>
  <c r="Q21" i="34"/>
  <c r="Q6" i="34" s="1"/>
  <c r="Q41" i="4" s="1"/>
  <c r="Q20" i="34"/>
  <c r="Q19" i="34"/>
  <c r="Q18" i="34"/>
  <c r="Q17" i="34"/>
  <c r="Q16" i="34"/>
  <c r="Q15" i="34"/>
  <c r="Q14" i="34"/>
  <c r="Q13" i="34"/>
  <c r="Q12" i="34"/>
  <c r="Q11" i="34"/>
  <c r="P6" i="34"/>
  <c r="O6" i="34"/>
  <c r="N6" i="34"/>
  <c r="M6" i="34"/>
  <c r="L6" i="34"/>
  <c r="K6" i="34"/>
  <c r="J6" i="34"/>
  <c r="I6" i="34"/>
  <c r="H6" i="34"/>
  <c r="G6" i="34"/>
  <c r="F6" i="34"/>
  <c r="E6" i="34"/>
  <c r="P7" i="34"/>
  <c r="O7" i="34"/>
  <c r="M7" i="34"/>
  <c r="K7" i="34"/>
  <c r="J7" i="34"/>
  <c r="I7" i="34"/>
  <c r="G7" i="34"/>
  <c r="F7" i="34"/>
  <c r="E2" i="34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6" i="33" s="1"/>
  <c r="Q40" i="4" s="1"/>
  <c r="P7" i="33"/>
  <c r="L7" i="33"/>
  <c r="P6" i="33"/>
  <c r="O6" i="33"/>
  <c r="N6" i="33"/>
  <c r="M6" i="33"/>
  <c r="L6" i="33"/>
  <c r="K6" i="33"/>
  <c r="J6" i="33"/>
  <c r="J7" i="33" s="1"/>
  <c r="I6" i="33"/>
  <c r="H6" i="33"/>
  <c r="H7" i="33" s="1"/>
  <c r="G6" i="33"/>
  <c r="G7" i="33" s="1"/>
  <c r="F6" i="33"/>
  <c r="F7" i="33" s="1"/>
  <c r="E6" i="33"/>
  <c r="O7" i="33"/>
  <c r="K7" i="33"/>
  <c r="E2" i="33"/>
  <c r="Q45" i="32"/>
  <c r="Q44" i="32"/>
  <c r="Q43" i="32"/>
  <c r="Q42" i="32"/>
  <c r="Q41" i="32"/>
  <c r="Q40" i="32"/>
  <c r="Q39" i="32"/>
  <c r="Q38" i="32"/>
  <c r="Q37" i="32"/>
  <c r="Q36" i="32"/>
  <c r="Q35" i="32"/>
  <c r="Q34" i="32"/>
  <c r="Q33" i="32"/>
  <c r="Q32" i="32"/>
  <c r="Q31" i="32"/>
  <c r="Q30" i="32"/>
  <c r="Q29" i="32"/>
  <c r="Q28" i="32"/>
  <c r="Q27" i="32"/>
  <c r="Q26" i="32"/>
  <c r="Q25" i="32"/>
  <c r="Q24" i="32"/>
  <c r="Q23" i="32"/>
  <c r="Q22" i="32"/>
  <c r="Q21" i="32"/>
  <c r="Q20" i="32"/>
  <c r="Q19" i="32"/>
  <c r="Q18" i="32"/>
  <c r="Q17" i="32"/>
  <c r="Q16" i="32"/>
  <c r="Q15" i="32"/>
  <c r="Q14" i="32"/>
  <c r="Q13" i="32"/>
  <c r="Q12" i="32"/>
  <c r="Q11" i="32"/>
  <c r="O7" i="32"/>
  <c r="K7" i="32"/>
  <c r="P6" i="32"/>
  <c r="O6" i="32"/>
  <c r="N6" i="32"/>
  <c r="M6" i="32"/>
  <c r="L6" i="32"/>
  <c r="K6" i="32"/>
  <c r="J6" i="32"/>
  <c r="I6" i="32"/>
  <c r="I7" i="32" s="1"/>
  <c r="H6" i="32"/>
  <c r="G6" i="32"/>
  <c r="G7" i="32" s="1"/>
  <c r="F6" i="32"/>
  <c r="E6" i="32"/>
  <c r="M7" i="32"/>
  <c r="E2" i="32"/>
  <c r="Q45" i="31"/>
  <c r="Q44" i="31"/>
  <c r="Q43" i="31"/>
  <c r="Q42" i="31"/>
  <c r="Q41" i="31"/>
  <c r="Q40" i="31"/>
  <c r="Q39" i="31"/>
  <c r="Q38" i="31"/>
  <c r="Q37" i="31"/>
  <c r="Q36" i="31"/>
  <c r="Q35" i="31"/>
  <c r="Q34" i="31"/>
  <c r="Q33" i="31"/>
  <c r="Q32" i="31"/>
  <c r="Q31" i="31"/>
  <c r="Q30" i="31"/>
  <c r="Q29" i="31"/>
  <c r="Q28" i="31"/>
  <c r="Q27" i="31"/>
  <c r="Q26" i="31"/>
  <c r="Q25" i="31"/>
  <c r="Q24" i="31"/>
  <c r="Q23" i="31"/>
  <c r="Q22" i="31"/>
  <c r="Q21" i="31"/>
  <c r="Q20" i="31"/>
  <c r="Q19" i="31"/>
  <c r="Q18" i="31"/>
  <c r="Q17" i="31"/>
  <c r="Q16" i="31"/>
  <c r="Q15" i="31"/>
  <c r="Q14" i="31"/>
  <c r="Q13" i="31"/>
  <c r="Q12" i="31"/>
  <c r="Q11" i="31"/>
  <c r="P6" i="31"/>
  <c r="O6" i="31"/>
  <c r="N6" i="31"/>
  <c r="M6" i="31"/>
  <c r="M7" i="31" s="1"/>
  <c r="L6" i="31"/>
  <c r="K6" i="31"/>
  <c r="J6" i="31"/>
  <c r="J7" i="31" s="1"/>
  <c r="I6" i="31"/>
  <c r="H6" i="31"/>
  <c r="G6" i="31"/>
  <c r="F6" i="31"/>
  <c r="E6" i="31"/>
  <c r="O7" i="31"/>
  <c r="K7" i="31"/>
  <c r="E2" i="31"/>
  <c r="Q45" i="30"/>
  <c r="Q44" i="30"/>
  <c r="Q43" i="30"/>
  <c r="Q42" i="30"/>
  <c r="Q41" i="30"/>
  <c r="Q40" i="30"/>
  <c r="Q39" i="30"/>
  <c r="Q38" i="30"/>
  <c r="Q37" i="30"/>
  <c r="Q36" i="30"/>
  <c r="Q35" i="30"/>
  <c r="Q34" i="30"/>
  <c r="Q33" i="30"/>
  <c r="Q32" i="30"/>
  <c r="Q31" i="30"/>
  <c r="Q30" i="30"/>
  <c r="Q29" i="30"/>
  <c r="Q28" i="30"/>
  <c r="Q27" i="30"/>
  <c r="Q26" i="30"/>
  <c r="Q25" i="30"/>
  <c r="Q24" i="30"/>
  <c r="Q23" i="30"/>
  <c r="Q22" i="30"/>
  <c r="Q21" i="30"/>
  <c r="Q20" i="30"/>
  <c r="Q19" i="30"/>
  <c r="Q18" i="30"/>
  <c r="Q17" i="30"/>
  <c r="Q16" i="30"/>
  <c r="Q15" i="30"/>
  <c r="Q14" i="30"/>
  <c r="Q13" i="30"/>
  <c r="Q12" i="30"/>
  <c r="Q11" i="30"/>
  <c r="P6" i="30"/>
  <c r="O6" i="30"/>
  <c r="N6" i="30"/>
  <c r="M6" i="30"/>
  <c r="L6" i="30"/>
  <c r="K6" i="30"/>
  <c r="J6" i="30"/>
  <c r="I6" i="30"/>
  <c r="I7" i="30" s="1"/>
  <c r="H6" i="30"/>
  <c r="G6" i="30"/>
  <c r="F6" i="30"/>
  <c r="E6" i="30"/>
  <c r="O7" i="30"/>
  <c r="M7" i="30"/>
  <c r="K7" i="30"/>
  <c r="H7" i="30"/>
  <c r="G7" i="30"/>
  <c r="E2" i="30"/>
  <c r="Q45" i="29"/>
  <c r="Q44" i="29"/>
  <c r="Q43" i="29"/>
  <c r="Q42" i="29"/>
  <c r="Q41" i="29"/>
  <c r="Q40" i="29"/>
  <c r="Q39" i="29"/>
  <c r="Q38" i="29"/>
  <c r="Q37" i="29"/>
  <c r="Q36" i="29"/>
  <c r="Q35" i="29"/>
  <c r="Q34" i="29"/>
  <c r="Q33" i="29"/>
  <c r="Q32" i="29"/>
  <c r="Q31" i="29"/>
  <c r="Q30" i="29"/>
  <c r="Q29" i="29"/>
  <c r="Q28" i="29"/>
  <c r="Q27" i="29"/>
  <c r="Q26" i="29"/>
  <c r="Q25" i="29"/>
  <c r="Q24" i="29"/>
  <c r="Q23" i="29"/>
  <c r="Q22" i="29"/>
  <c r="Q21" i="29"/>
  <c r="Q20" i="29"/>
  <c r="Q19" i="29"/>
  <c r="Q18" i="29"/>
  <c r="Q17" i="29"/>
  <c r="Q16" i="29"/>
  <c r="Q15" i="29"/>
  <c r="Q14" i="29"/>
  <c r="Q13" i="29"/>
  <c r="Q12" i="29"/>
  <c r="Q11" i="29"/>
  <c r="Q6" i="29" s="1"/>
  <c r="Q36" i="4" s="1"/>
  <c r="P6" i="29"/>
  <c r="O6" i="29"/>
  <c r="N6" i="29"/>
  <c r="M6" i="29"/>
  <c r="L6" i="29"/>
  <c r="K6" i="29"/>
  <c r="J6" i="29"/>
  <c r="J7" i="29" s="1"/>
  <c r="I6" i="29"/>
  <c r="H6" i="29"/>
  <c r="G6" i="29"/>
  <c r="F6" i="29"/>
  <c r="F7" i="29" s="1"/>
  <c r="E6" i="29"/>
  <c r="E7" i="29" s="1"/>
  <c r="O7" i="29"/>
  <c r="I7" i="29"/>
  <c r="G7" i="29"/>
  <c r="E2" i="29"/>
  <c r="Q45" i="28"/>
  <c r="Q44" i="28"/>
  <c r="Q43" i="28"/>
  <c r="Q42" i="28"/>
  <c r="Q41" i="28"/>
  <c r="Q40" i="28"/>
  <c r="Q39" i="28"/>
  <c r="Q38" i="28"/>
  <c r="Q37" i="28"/>
  <c r="Q36" i="28"/>
  <c r="Q35" i="28"/>
  <c r="Q34" i="28"/>
  <c r="Q33" i="28"/>
  <c r="Q32" i="28"/>
  <c r="Q31" i="28"/>
  <c r="Q30" i="28"/>
  <c r="Q29" i="28"/>
  <c r="Q28" i="28"/>
  <c r="Q27" i="28"/>
  <c r="Q26" i="28"/>
  <c r="Q25" i="28"/>
  <c r="Q24" i="28"/>
  <c r="Q23" i="28"/>
  <c r="Q22" i="28"/>
  <c r="Q21" i="28"/>
  <c r="Q20" i="28"/>
  <c r="Q19" i="28"/>
  <c r="Q18" i="28"/>
  <c r="Q17" i="28"/>
  <c r="Q16" i="28"/>
  <c r="Q15" i="28"/>
  <c r="Q14" i="28"/>
  <c r="Q13" i="28"/>
  <c r="Q12" i="28"/>
  <c r="Q11" i="28"/>
  <c r="P6" i="28"/>
  <c r="O6" i="28"/>
  <c r="N6" i="28"/>
  <c r="M6" i="28"/>
  <c r="L6" i="28"/>
  <c r="K6" i="28"/>
  <c r="J6" i="28"/>
  <c r="I6" i="28"/>
  <c r="H6" i="28"/>
  <c r="G6" i="28"/>
  <c r="F6" i="28"/>
  <c r="E6" i="28"/>
  <c r="P7" i="28"/>
  <c r="O7" i="28"/>
  <c r="N7" i="28"/>
  <c r="M7" i="28"/>
  <c r="L7" i="28"/>
  <c r="J7" i="28"/>
  <c r="G7" i="28"/>
  <c r="F7" i="28"/>
  <c r="E2" i="28"/>
  <c r="Q45" i="27"/>
  <c r="Q44" i="27"/>
  <c r="Q43" i="27"/>
  <c r="Q42" i="27"/>
  <c r="Q41" i="27"/>
  <c r="Q40" i="27"/>
  <c r="Q39" i="27"/>
  <c r="Q38" i="27"/>
  <c r="Q37" i="27"/>
  <c r="Q36" i="27"/>
  <c r="Q35" i="27"/>
  <c r="Q34" i="27"/>
  <c r="Q33" i="27"/>
  <c r="Q32" i="27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6" i="27" s="1"/>
  <c r="Q34" i="4" s="1"/>
  <c r="Q15" i="27"/>
  <c r="Q14" i="27"/>
  <c r="Q13" i="27"/>
  <c r="Q12" i="27"/>
  <c r="Q11" i="27"/>
  <c r="P6" i="27"/>
  <c r="O6" i="27"/>
  <c r="N6" i="27"/>
  <c r="M6" i="27"/>
  <c r="L6" i="27"/>
  <c r="K6" i="27"/>
  <c r="J6" i="27"/>
  <c r="I6" i="27"/>
  <c r="H6" i="27"/>
  <c r="G6" i="27"/>
  <c r="F6" i="27"/>
  <c r="E6" i="27"/>
  <c r="P7" i="27"/>
  <c r="O7" i="27"/>
  <c r="N7" i="27"/>
  <c r="M7" i="27"/>
  <c r="L7" i="27"/>
  <c r="K7" i="27"/>
  <c r="J7" i="27"/>
  <c r="I7" i="27"/>
  <c r="E2" i="27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P6" i="26"/>
  <c r="O6" i="26"/>
  <c r="N6" i="26"/>
  <c r="N7" i="26" s="1"/>
  <c r="M6" i="26"/>
  <c r="M7" i="26" s="1"/>
  <c r="L6" i="26"/>
  <c r="K6" i="26"/>
  <c r="J6" i="26"/>
  <c r="I6" i="26"/>
  <c r="H6" i="26"/>
  <c r="G6" i="26"/>
  <c r="F6" i="26"/>
  <c r="E6" i="26"/>
  <c r="L7" i="26"/>
  <c r="J7" i="26"/>
  <c r="I7" i="26"/>
  <c r="F7" i="26"/>
  <c r="E2" i="26"/>
  <c r="Q45" i="25"/>
  <c r="Q44" i="25"/>
  <c r="Q43" i="25"/>
  <c r="Q42" i="25"/>
  <c r="Q41" i="25"/>
  <c r="Q40" i="25"/>
  <c r="Q39" i="25"/>
  <c r="Q38" i="25"/>
  <c r="Q37" i="25"/>
  <c r="Q36" i="25"/>
  <c r="Q35" i="25"/>
  <c r="Q34" i="25"/>
  <c r="Q33" i="25"/>
  <c r="Q32" i="25"/>
  <c r="Q31" i="25"/>
  <c r="Q30" i="25"/>
  <c r="Q29" i="25"/>
  <c r="Q28" i="25"/>
  <c r="Q27" i="25"/>
  <c r="Q26" i="25"/>
  <c r="Q25" i="25"/>
  <c r="Q24" i="25"/>
  <c r="Q23" i="25"/>
  <c r="Q22" i="25"/>
  <c r="Q21" i="25"/>
  <c r="Q20" i="25"/>
  <c r="Q19" i="25"/>
  <c r="Q18" i="25"/>
  <c r="Q17" i="25"/>
  <c r="Q16" i="25"/>
  <c r="Q15" i="25"/>
  <c r="Q14" i="25"/>
  <c r="Q13" i="25"/>
  <c r="Q12" i="25"/>
  <c r="Q11" i="25"/>
  <c r="P6" i="25"/>
  <c r="O6" i="25"/>
  <c r="N6" i="25"/>
  <c r="M6" i="25"/>
  <c r="L6" i="25"/>
  <c r="K6" i="25"/>
  <c r="J6" i="25"/>
  <c r="I6" i="25"/>
  <c r="I7" i="25" s="1"/>
  <c r="H6" i="25"/>
  <c r="G6" i="25"/>
  <c r="F6" i="25"/>
  <c r="E6" i="25"/>
  <c r="O7" i="25"/>
  <c r="N7" i="25"/>
  <c r="K7" i="25"/>
  <c r="J7" i="25"/>
  <c r="H7" i="25"/>
  <c r="F7" i="25"/>
  <c r="E7" i="25"/>
  <c r="E2" i="25"/>
  <c r="Q45" i="24"/>
  <c r="Q44" i="24"/>
  <c r="Q43" i="24"/>
  <c r="Q42" i="24"/>
  <c r="Q41" i="24"/>
  <c r="Q40" i="24"/>
  <c r="Q39" i="24"/>
  <c r="Q38" i="24"/>
  <c r="Q37" i="24"/>
  <c r="Q36" i="24"/>
  <c r="Q35" i="24"/>
  <c r="Q34" i="24"/>
  <c r="Q33" i="24"/>
  <c r="Q32" i="24"/>
  <c r="Q31" i="24"/>
  <c r="Q30" i="24"/>
  <c r="Q29" i="24"/>
  <c r="Q28" i="24"/>
  <c r="Q27" i="24"/>
  <c r="Q26" i="24"/>
  <c r="Q25" i="24"/>
  <c r="Q24" i="24"/>
  <c r="Q23" i="24"/>
  <c r="Q22" i="24"/>
  <c r="Q21" i="24"/>
  <c r="Q20" i="24"/>
  <c r="Q19" i="24"/>
  <c r="Q18" i="24"/>
  <c r="Q17" i="24"/>
  <c r="Q16" i="24"/>
  <c r="Q15" i="24"/>
  <c r="Q14" i="24"/>
  <c r="Q13" i="24"/>
  <c r="Q12" i="24"/>
  <c r="Q6" i="24" s="1"/>
  <c r="Q31" i="4" s="1"/>
  <c r="Q11" i="24"/>
  <c r="O7" i="24"/>
  <c r="G7" i="24"/>
  <c r="P6" i="24"/>
  <c r="O6" i="24"/>
  <c r="N6" i="24"/>
  <c r="M6" i="24"/>
  <c r="M7" i="24" s="1"/>
  <c r="L6" i="24"/>
  <c r="K6" i="24"/>
  <c r="J6" i="24"/>
  <c r="I6" i="24"/>
  <c r="H6" i="24"/>
  <c r="G6" i="24"/>
  <c r="F6" i="24"/>
  <c r="E6" i="24"/>
  <c r="P7" i="24"/>
  <c r="L7" i="24"/>
  <c r="H7" i="24"/>
  <c r="E2" i="24"/>
  <c r="E7" i="37" l="1"/>
  <c r="Q6" i="41"/>
  <c r="Q49" i="4" s="1"/>
  <c r="P7" i="29"/>
  <c r="L7" i="45"/>
  <c r="L7" i="49"/>
  <c r="Q6" i="55"/>
  <c r="Q64" i="4" s="1"/>
  <c r="K7" i="37"/>
  <c r="F7" i="30"/>
  <c r="I7" i="35"/>
  <c r="Q6" i="39"/>
  <c r="Q47" i="4" s="1"/>
  <c r="Q6" i="40"/>
  <c r="Q48" i="4" s="1"/>
  <c r="H7" i="48"/>
  <c r="N7" i="54"/>
  <c r="L7" i="29"/>
  <c r="H7" i="45"/>
  <c r="H7" i="49"/>
  <c r="H7" i="41"/>
  <c r="J7" i="54"/>
  <c r="E7" i="27"/>
  <c r="Q6" i="54"/>
  <c r="E7" i="24"/>
  <c r="Q6" i="26"/>
  <c r="Q33" i="4" s="1"/>
  <c r="Q6" i="28"/>
  <c r="Q35" i="4" s="1"/>
  <c r="E7" i="31"/>
  <c r="Q6" i="31"/>
  <c r="Q38" i="4" s="1"/>
  <c r="P7" i="31"/>
  <c r="J7" i="43"/>
  <c r="P7" i="44"/>
  <c r="L7" i="51"/>
  <c r="O7" i="52"/>
  <c r="F7" i="32"/>
  <c r="E7" i="45"/>
  <c r="E7" i="49"/>
  <c r="Q6" i="49"/>
  <c r="Q57" i="4" s="1"/>
  <c r="E7" i="41"/>
  <c r="P7" i="45"/>
  <c r="P7" i="49"/>
  <c r="P7" i="41"/>
  <c r="Q7" i="63"/>
  <c r="Q73" i="4"/>
  <c r="E7" i="34"/>
  <c r="H7" i="29"/>
  <c r="J7" i="30"/>
  <c r="M7" i="35"/>
  <c r="Q6" i="42"/>
  <c r="Q50" i="4" s="1"/>
  <c r="Q6" i="25"/>
  <c r="Q32" i="4" s="1"/>
  <c r="E7" i="30"/>
  <c r="Q6" i="30"/>
  <c r="Q37" i="4" s="1"/>
  <c r="L7" i="31"/>
  <c r="O7" i="36"/>
  <c r="N7" i="43"/>
  <c r="L7" i="44"/>
  <c r="H7" i="51"/>
  <c r="K7" i="52"/>
  <c r="Q6" i="59"/>
  <c r="Q68" i="4" s="1"/>
  <c r="Q6" i="60"/>
  <c r="Q69" i="4" s="1"/>
  <c r="Q6" i="61"/>
  <c r="Q70" i="4" s="1"/>
  <c r="Q6" i="62"/>
  <c r="Q71" i="4" s="1"/>
  <c r="Q6" i="56"/>
  <c r="Q65" i="4" s="1"/>
  <c r="Q6" i="58"/>
  <c r="Q67" i="4" s="1"/>
  <c r="E7" i="43"/>
  <c r="E7" i="54"/>
  <c r="E7" i="47"/>
  <c r="E7" i="33"/>
  <c r="E7" i="48"/>
  <c r="E7" i="50"/>
  <c r="E7" i="52"/>
  <c r="E7" i="53"/>
  <c r="E7" i="36"/>
  <c r="E7" i="46"/>
  <c r="Q6" i="57"/>
  <c r="Q66" i="4" s="1"/>
  <c r="Q62" i="4"/>
  <c r="Q6" i="44"/>
  <c r="Q52" i="4" s="1"/>
  <c r="Q6" i="43"/>
  <c r="Q51" i="4" s="1"/>
  <c r="Q6" i="38"/>
  <c r="Q46" i="4" s="1"/>
  <c r="E7" i="35"/>
  <c r="Q6" i="32"/>
  <c r="Q39" i="4" s="1"/>
  <c r="G7" i="26"/>
  <c r="K7" i="26"/>
  <c r="O7" i="26"/>
  <c r="E5" i="23"/>
  <c r="E7" i="23" s="1"/>
  <c r="F5" i="23"/>
  <c r="F7" i="23" s="1"/>
  <c r="G5" i="23"/>
  <c r="G7" i="23" s="1"/>
  <c r="H5" i="23"/>
  <c r="I5" i="23"/>
  <c r="J5" i="23"/>
  <c r="K5" i="23"/>
  <c r="L5" i="23"/>
  <c r="M5" i="23"/>
  <c r="N5" i="23"/>
  <c r="O5" i="23"/>
  <c r="P5" i="23"/>
  <c r="P7" i="23" s="1"/>
  <c r="C9" i="23"/>
  <c r="C8" i="23"/>
  <c r="E5" i="22"/>
  <c r="F5" i="22"/>
  <c r="G5" i="22"/>
  <c r="H5" i="22"/>
  <c r="I5" i="22"/>
  <c r="J5" i="22"/>
  <c r="K5" i="22"/>
  <c r="L5" i="22"/>
  <c r="M5" i="22"/>
  <c r="N5" i="22"/>
  <c r="N7" i="22" s="1"/>
  <c r="O5" i="22"/>
  <c r="O7" i="22" s="1"/>
  <c r="P5" i="22"/>
  <c r="C9" i="22"/>
  <c r="C8" i="22"/>
  <c r="E5" i="21"/>
  <c r="F5" i="21"/>
  <c r="G5" i="21"/>
  <c r="H5" i="21"/>
  <c r="I5" i="21"/>
  <c r="J5" i="21"/>
  <c r="K5" i="21"/>
  <c r="K7" i="21" s="1"/>
  <c r="L5" i="21"/>
  <c r="L7" i="21" s="1"/>
  <c r="M5" i="21"/>
  <c r="N5" i="21"/>
  <c r="O5" i="21"/>
  <c r="P5" i="21"/>
  <c r="C9" i="21"/>
  <c r="C8" i="21"/>
  <c r="E5" i="20"/>
  <c r="F5" i="20"/>
  <c r="G5" i="20"/>
  <c r="H5" i="20"/>
  <c r="I5" i="20"/>
  <c r="I7" i="20" s="1"/>
  <c r="J5" i="20"/>
  <c r="K5" i="20"/>
  <c r="L5" i="20"/>
  <c r="M5" i="20"/>
  <c r="N5" i="20"/>
  <c r="O5" i="20"/>
  <c r="P5" i="20"/>
  <c r="P7" i="20" s="1"/>
  <c r="C9" i="20"/>
  <c r="C8" i="20"/>
  <c r="E5" i="19"/>
  <c r="F5" i="19"/>
  <c r="F7" i="19" s="1"/>
  <c r="G5" i="19"/>
  <c r="H5" i="19"/>
  <c r="I5" i="19"/>
  <c r="J5" i="19"/>
  <c r="K5" i="19"/>
  <c r="L5" i="19"/>
  <c r="M5" i="19"/>
  <c r="M7" i="19" s="1"/>
  <c r="N5" i="19"/>
  <c r="O5" i="19"/>
  <c r="P5" i="19"/>
  <c r="E5" i="18"/>
  <c r="F5" i="18"/>
  <c r="F7" i="18" s="1"/>
  <c r="G5" i="18"/>
  <c r="H5" i="18"/>
  <c r="H7" i="18" s="1"/>
  <c r="I5" i="18"/>
  <c r="J5" i="18"/>
  <c r="K5" i="18"/>
  <c r="L5" i="18"/>
  <c r="L7" i="18" s="1"/>
  <c r="M5" i="18"/>
  <c r="N5" i="18"/>
  <c r="O5" i="18"/>
  <c r="P5" i="18"/>
  <c r="P7" i="18" s="1"/>
  <c r="G7" i="18"/>
  <c r="M7" i="18"/>
  <c r="C9" i="19"/>
  <c r="C8" i="19"/>
  <c r="C9" i="18"/>
  <c r="C8" i="18"/>
  <c r="E5" i="17"/>
  <c r="F5" i="17"/>
  <c r="G5" i="17"/>
  <c r="G7" i="17" s="1"/>
  <c r="H5" i="17"/>
  <c r="I5" i="17"/>
  <c r="J5" i="17"/>
  <c r="K5" i="17"/>
  <c r="L5" i="17"/>
  <c r="M5" i="17"/>
  <c r="N5" i="17"/>
  <c r="N7" i="17" s="1"/>
  <c r="O5" i="17"/>
  <c r="O7" i="17" s="1"/>
  <c r="P5" i="17"/>
  <c r="P7" i="17" s="1"/>
  <c r="C9" i="17"/>
  <c r="C8" i="17"/>
  <c r="E5" i="16"/>
  <c r="F5" i="16"/>
  <c r="G5" i="16"/>
  <c r="H5" i="16"/>
  <c r="I5" i="16"/>
  <c r="J5" i="16"/>
  <c r="K5" i="16"/>
  <c r="L5" i="16"/>
  <c r="L7" i="16" s="1"/>
  <c r="M5" i="16"/>
  <c r="N5" i="16"/>
  <c r="O5" i="16"/>
  <c r="P5" i="16"/>
  <c r="P7" i="16" s="1"/>
  <c r="C9" i="16"/>
  <c r="C8" i="16"/>
  <c r="E5" i="15"/>
  <c r="F5" i="15"/>
  <c r="G5" i="15"/>
  <c r="H5" i="15"/>
  <c r="I5" i="15"/>
  <c r="J5" i="15"/>
  <c r="K5" i="15"/>
  <c r="L5" i="15"/>
  <c r="M5" i="15"/>
  <c r="N5" i="15"/>
  <c r="O5" i="15"/>
  <c r="O7" i="15" s="1"/>
  <c r="P5" i="15"/>
  <c r="C9" i="15"/>
  <c r="C8" i="15"/>
  <c r="E5" i="14"/>
  <c r="F5" i="14"/>
  <c r="G5" i="14"/>
  <c r="H5" i="14"/>
  <c r="I5" i="14"/>
  <c r="J5" i="14"/>
  <c r="K5" i="14"/>
  <c r="L5" i="14"/>
  <c r="L7" i="14" s="1"/>
  <c r="M5" i="14"/>
  <c r="N5" i="14"/>
  <c r="O5" i="14"/>
  <c r="P5" i="14"/>
  <c r="C9" i="14"/>
  <c r="C8" i="14"/>
  <c r="E5" i="13"/>
  <c r="E7" i="13" s="1"/>
  <c r="F5" i="13"/>
  <c r="G5" i="13"/>
  <c r="H5" i="13"/>
  <c r="H7" i="13" s="1"/>
  <c r="I5" i="13"/>
  <c r="I7" i="13" s="1"/>
  <c r="J5" i="13"/>
  <c r="K5" i="13"/>
  <c r="L5" i="13"/>
  <c r="M5" i="13"/>
  <c r="N5" i="13"/>
  <c r="O5" i="13"/>
  <c r="P5" i="13"/>
  <c r="P7" i="13" s="1"/>
  <c r="C9" i="13"/>
  <c r="C8" i="13"/>
  <c r="Q45" i="23"/>
  <c r="Q44" i="23"/>
  <c r="Q43" i="23"/>
  <c r="Q42" i="23"/>
  <c r="Q41" i="23"/>
  <c r="Q40" i="23"/>
  <c r="Q39" i="23"/>
  <c r="Q38" i="23"/>
  <c r="Q37" i="23"/>
  <c r="Q36" i="23"/>
  <c r="Q35" i="23"/>
  <c r="Q34" i="23"/>
  <c r="Q33" i="23"/>
  <c r="Q32" i="23"/>
  <c r="Q31" i="23"/>
  <c r="Q30" i="23"/>
  <c r="Q29" i="23"/>
  <c r="Q28" i="23"/>
  <c r="Q27" i="23"/>
  <c r="Q26" i="23"/>
  <c r="Q25" i="23"/>
  <c r="Q24" i="23"/>
  <c r="Q23" i="23"/>
  <c r="Q22" i="23"/>
  <c r="Q21" i="23"/>
  <c r="Q20" i="23"/>
  <c r="Q19" i="23"/>
  <c r="Q18" i="23"/>
  <c r="Q17" i="23"/>
  <c r="Q16" i="23"/>
  <c r="Q15" i="23"/>
  <c r="Q14" i="23"/>
  <c r="Q13" i="23"/>
  <c r="Q12" i="23"/>
  <c r="Q11" i="23"/>
  <c r="P6" i="23"/>
  <c r="O6" i="23"/>
  <c r="N6" i="23"/>
  <c r="M6" i="23"/>
  <c r="L6" i="23"/>
  <c r="K6" i="23"/>
  <c r="J6" i="23"/>
  <c r="I6" i="23"/>
  <c r="H6" i="23"/>
  <c r="G6" i="23"/>
  <c r="F6" i="23"/>
  <c r="E6" i="23"/>
  <c r="O7" i="23"/>
  <c r="N7" i="23"/>
  <c r="M7" i="23"/>
  <c r="L7" i="23"/>
  <c r="K7" i="23"/>
  <c r="J7" i="23"/>
  <c r="I7" i="23"/>
  <c r="H7" i="23"/>
  <c r="E2" i="23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P6" i="22"/>
  <c r="O6" i="22"/>
  <c r="N6" i="22"/>
  <c r="M6" i="22"/>
  <c r="L6" i="22"/>
  <c r="L7" i="22" s="1"/>
  <c r="K6" i="22"/>
  <c r="J6" i="22"/>
  <c r="J7" i="22" s="1"/>
  <c r="I6" i="22"/>
  <c r="H6" i="22"/>
  <c r="G6" i="22"/>
  <c r="G7" i="22" s="1"/>
  <c r="F6" i="22"/>
  <c r="F7" i="22" s="1"/>
  <c r="E6" i="22"/>
  <c r="P7" i="22"/>
  <c r="K7" i="22"/>
  <c r="H7" i="22"/>
  <c r="E2" i="22"/>
  <c r="Q45" i="21"/>
  <c r="Q44" i="21"/>
  <c r="Q43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P6" i="21"/>
  <c r="O6" i="21"/>
  <c r="N6" i="21"/>
  <c r="M6" i="21"/>
  <c r="L6" i="21"/>
  <c r="K6" i="21"/>
  <c r="J6" i="21"/>
  <c r="J7" i="21" s="1"/>
  <c r="I6" i="21"/>
  <c r="H6" i="21"/>
  <c r="G6" i="21"/>
  <c r="F6" i="21"/>
  <c r="E6" i="21"/>
  <c r="P7" i="21"/>
  <c r="O7" i="21"/>
  <c r="N7" i="21"/>
  <c r="M7" i="21"/>
  <c r="I7" i="21"/>
  <c r="H7" i="21"/>
  <c r="G7" i="21"/>
  <c r="F7" i="21"/>
  <c r="E7" i="21"/>
  <c r="E2" i="21"/>
  <c r="Q45" i="20"/>
  <c r="Q44" i="20"/>
  <c r="Q43" i="20"/>
  <c r="Q42" i="20"/>
  <c r="Q41" i="20"/>
  <c r="Q40" i="20"/>
  <c r="Q39" i="20"/>
  <c r="Q38" i="20"/>
  <c r="Q37" i="20"/>
  <c r="Q36" i="20"/>
  <c r="Q35" i="20"/>
  <c r="Q34" i="20"/>
  <c r="Q33" i="20"/>
  <c r="Q32" i="20"/>
  <c r="Q31" i="20"/>
  <c r="Q30" i="20"/>
  <c r="Q29" i="20"/>
  <c r="Q28" i="20"/>
  <c r="Q27" i="20"/>
  <c r="Q26" i="20"/>
  <c r="Q25" i="20"/>
  <c r="Q24" i="20"/>
  <c r="Q23" i="20"/>
  <c r="Q22" i="20"/>
  <c r="Q21" i="20"/>
  <c r="Q20" i="20"/>
  <c r="Q19" i="20"/>
  <c r="Q18" i="20"/>
  <c r="Q17" i="20"/>
  <c r="Q16" i="20"/>
  <c r="Q15" i="20"/>
  <c r="Q14" i="20"/>
  <c r="Q13" i="20"/>
  <c r="Q12" i="20"/>
  <c r="Q11" i="20"/>
  <c r="P6" i="20"/>
  <c r="O6" i="20"/>
  <c r="N6" i="20"/>
  <c r="N7" i="20" s="1"/>
  <c r="M6" i="20"/>
  <c r="M7" i="20" s="1"/>
  <c r="L6" i="20"/>
  <c r="K6" i="20"/>
  <c r="J6" i="20"/>
  <c r="J7" i="20" s="1"/>
  <c r="I6" i="20"/>
  <c r="H6" i="20"/>
  <c r="G6" i="20"/>
  <c r="F6" i="20"/>
  <c r="E6" i="20"/>
  <c r="L7" i="20"/>
  <c r="H7" i="20"/>
  <c r="F7" i="20"/>
  <c r="E2" i="20"/>
  <c r="Q45" i="19"/>
  <c r="Q44" i="19"/>
  <c r="Q43" i="19"/>
  <c r="Q42" i="19"/>
  <c r="Q41" i="19"/>
  <c r="Q40" i="19"/>
  <c r="Q39" i="19"/>
  <c r="Q38" i="19"/>
  <c r="Q37" i="19"/>
  <c r="Q36" i="19"/>
  <c r="Q35" i="19"/>
  <c r="Q34" i="19"/>
  <c r="Q33" i="19"/>
  <c r="Q32" i="19"/>
  <c r="Q31" i="19"/>
  <c r="Q30" i="19"/>
  <c r="Q29" i="19"/>
  <c r="Q28" i="19"/>
  <c r="Q27" i="19"/>
  <c r="Q26" i="19"/>
  <c r="Q25" i="19"/>
  <c r="Q24" i="19"/>
  <c r="Q23" i="19"/>
  <c r="Q22" i="19"/>
  <c r="Q21" i="19"/>
  <c r="Q20" i="19"/>
  <c r="Q19" i="19"/>
  <c r="Q18" i="19"/>
  <c r="Q17" i="19"/>
  <c r="Q16" i="19"/>
  <c r="Q15" i="19"/>
  <c r="Q14" i="19"/>
  <c r="Q13" i="19"/>
  <c r="Q12" i="19"/>
  <c r="Q11" i="19"/>
  <c r="Q6" i="19" s="1"/>
  <c r="Q25" i="4" s="1"/>
  <c r="P6" i="19"/>
  <c r="O6" i="19"/>
  <c r="N6" i="19"/>
  <c r="M6" i="19"/>
  <c r="L6" i="19"/>
  <c r="L7" i="19" s="1"/>
  <c r="K6" i="19"/>
  <c r="J6" i="19"/>
  <c r="J7" i="19" s="1"/>
  <c r="I6" i="19"/>
  <c r="I7" i="19" s="1"/>
  <c r="H6" i="19"/>
  <c r="G6" i="19"/>
  <c r="F6" i="19"/>
  <c r="E6" i="19"/>
  <c r="P7" i="19"/>
  <c r="N7" i="19"/>
  <c r="H7" i="19"/>
  <c r="E2" i="19"/>
  <c r="Q45" i="18"/>
  <c r="Q44" i="18"/>
  <c r="Q43" i="18"/>
  <c r="Q42" i="18"/>
  <c r="Q41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6" i="18" s="1"/>
  <c r="Q24" i="4" s="1"/>
  <c r="P6" i="18"/>
  <c r="O6" i="18"/>
  <c r="N6" i="18"/>
  <c r="N7" i="18" s="1"/>
  <c r="M6" i="18"/>
  <c r="L6" i="18"/>
  <c r="K6" i="18"/>
  <c r="J6" i="18"/>
  <c r="I6" i="18"/>
  <c r="H6" i="18"/>
  <c r="G6" i="18"/>
  <c r="F6" i="18"/>
  <c r="E6" i="18"/>
  <c r="K7" i="18"/>
  <c r="J7" i="18"/>
  <c r="I7" i="18"/>
  <c r="E2" i="18"/>
  <c r="Q45" i="17"/>
  <c r="Q44" i="17"/>
  <c r="Q43" i="17"/>
  <c r="Q42" i="17"/>
  <c r="Q41" i="17"/>
  <c r="Q40" i="17"/>
  <c r="Q39" i="17"/>
  <c r="Q38" i="17"/>
  <c r="Q37" i="17"/>
  <c r="Q36" i="17"/>
  <c r="Q35" i="17"/>
  <c r="Q34" i="17"/>
  <c r="Q33" i="17"/>
  <c r="Q32" i="17"/>
  <c r="Q31" i="17"/>
  <c r="Q30" i="17"/>
  <c r="Q29" i="17"/>
  <c r="Q28" i="17"/>
  <c r="Q27" i="17"/>
  <c r="Q26" i="17"/>
  <c r="Q25" i="17"/>
  <c r="Q24" i="17"/>
  <c r="Q23" i="17"/>
  <c r="Q22" i="17"/>
  <c r="Q21" i="17"/>
  <c r="Q20" i="17"/>
  <c r="Q19" i="17"/>
  <c r="Q18" i="17"/>
  <c r="Q17" i="17"/>
  <c r="Q16" i="17"/>
  <c r="Q15" i="17"/>
  <c r="Q14" i="17"/>
  <c r="Q13" i="17"/>
  <c r="Q12" i="17"/>
  <c r="Q11" i="17"/>
  <c r="Q6" i="17" s="1"/>
  <c r="Q23" i="4" s="1"/>
  <c r="P6" i="17"/>
  <c r="O6" i="17"/>
  <c r="N6" i="17"/>
  <c r="M6" i="17"/>
  <c r="M7" i="17" s="1"/>
  <c r="L6" i="17"/>
  <c r="K6" i="17"/>
  <c r="J6" i="17"/>
  <c r="J7" i="17" s="1"/>
  <c r="I6" i="17"/>
  <c r="I7" i="17" s="1"/>
  <c r="H6" i="17"/>
  <c r="G6" i="17"/>
  <c r="F6" i="17"/>
  <c r="E6" i="17"/>
  <c r="K7" i="17"/>
  <c r="F7" i="17"/>
  <c r="E2" i="17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6" i="16"/>
  <c r="P6" i="16"/>
  <c r="O6" i="16"/>
  <c r="O7" i="16" s="1"/>
  <c r="N6" i="16"/>
  <c r="M6" i="16"/>
  <c r="L6" i="16"/>
  <c r="K6" i="16"/>
  <c r="K7" i="16" s="1"/>
  <c r="J6" i="16"/>
  <c r="J7" i="16" s="1"/>
  <c r="I6" i="16"/>
  <c r="I7" i="16" s="1"/>
  <c r="H6" i="16"/>
  <c r="G6" i="16"/>
  <c r="G7" i="16" s="1"/>
  <c r="F6" i="16"/>
  <c r="F7" i="16" s="1"/>
  <c r="E6" i="16"/>
  <c r="N7" i="16"/>
  <c r="M7" i="16"/>
  <c r="H7" i="16"/>
  <c r="E2" i="16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P6" i="15"/>
  <c r="O6" i="15"/>
  <c r="N6" i="15"/>
  <c r="M6" i="15"/>
  <c r="M7" i="15" s="1"/>
  <c r="L6" i="15"/>
  <c r="K6" i="15"/>
  <c r="K7" i="15" s="1"/>
  <c r="J6" i="15"/>
  <c r="I6" i="15"/>
  <c r="H6" i="15"/>
  <c r="G6" i="15"/>
  <c r="G7" i="15" s="1"/>
  <c r="F6" i="15"/>
  <c r="E6" i="15"/>
  <c r="P7" i="15"/>
  <c r="L7" i="15"/>
  <c r="I7" i="15"/>
  <c r="H7" i="15"/>
  <c r="E2" i="15"/>
  <c r="Q45" i="14"/>
  <c r="Q44" i="14"/>
  <c r="Q43" i="14"/>
  <c r="Q42" i="14"/>
  <c r="Q41" i="14"/>
  <c r="Q40" i="14"/>
  <c r="Q39" i="14"/>
  <c r="Q38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6" i="14" s="1"/>
  <c r="Q20" i="4" s="1"/>
  <c r="P6" i="14"/>
  <c r="O6" i="14"/>
  <c r="N6" i="14"/>
  <c r="M6" i="14"/>
  <c r="L6" i="14"/>
  <c r="K6" i="14"/>
  <c r="K7" i="14" s="1"/>
  <c r="J6" i="14"/>
  <c r="J7" i="14" s="1"/>
  <c r="I6" i="14"/>
  <c r="H6" i="14"/>
  <c r="G6" i="14"/>
  <c r="F6" i="14"/>
  <c r="E6" i="14"/>
  <c r="P7" i="14"/>
  <c r="O7" i="14"/>
  <c r="N7" i="14"/>
  <c r="M7" i="14"/>
  <c r="I7" i="14"/>
  <c r="H7" i="14"/>
  <c r="G7" i="14"/>
  <c r="F7" i="14"/>
  <c r="E2" i="14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P6" i="13"/>
  <c r="O6" i="13"/>
  <c r="O7" i="13" s="1"/>
  <c r="N6" i="13"/>
  <c r="N7" i="13" s="1"/>
  <c r="M6" i="13"/>
  <c r="M7" i="13" s="1"/>
  <c r="L6" i="13"/>
  <c r="K6" i="13"/>
  <c r="K7" i="13" s="1"/>
  <c r="J6" i="13"/>
  <c r="J7" i="13" s="1"/>
  <c r="I6" i="13"/>
  <c r="H6" i="13"/>
  <c r="G6" i="13"/>
  <c r="F6" i="13"/>
  <c r="E6" i="13"/>
  <c r="G7" i="13"/>
  <c r="F7" i="13"/>
  <c r="E2" i="13"/>
  <c r="E5" i="12"/>
  <c r="F5" i="12"/>
  <c r="G5" i="12"/>
  <c r="H5" i="12"/>
  <c r="I5" i="12"/>
  <c r="J5" i="12"/>
  <c r="K5" i="12"/>
  <c r="L5" i="12"/>
  <c r="M5" i="12"/>
  <c r="N5" i="12"/>
  <c r="O5" i="12"/>
  <c r="P5" i="12"/>
  <c r="C9" i="12"/>
  <c r="C8" i="12"/>
  <c r="H7" i="17" l="1"/>
  <c r="G7" i="19"/>
  <c r="G7" i="20"/>
  <c r="M7" i="22"/>
  <c r="O7" i="18"/>
  <c r="O7" i="19"/>
  <c r="Q6" i="23"/>
  <c r="Q29" i="4" s="1"/>
  <c r="O7" i="20"/>
  <c r="I7" i="22"/>
  <c r="E7" i="14"/>
  <c r="L7" i="17"/>
  <c r="K7" i="19"/>
  <c r="Q6" i="15"/>
  <c r="Q6" i="22"/>
  <c r="Q28" i="4" s="1"/>
  <c r="J7" i="15"/>
  <c r="Q6" i="20"/>
  <c r="Q26" i="4" s="1"/>
  <c r="Q6" i="21"/>
  <c r="Q27" i="4" s="1"/>
  <c r="N7" i="15"/>
  <c r="Q6" i="13"/>
  <c r="Q19" i="4" s="1"/>
  <c r="L7" i="13"/>
  <c r="F7" i="15"/>
  <c r="K7" i="20"/>
  <c r="E7" i="22"/>
  <c r="E7" i="19"/>
  <c r="E7" i="15"/>
  <c r="E7" i="16"/>
  <c r="E7" i="20"/>
  <c r="E7" i="17"/>
  <c r="E7" i="18"/>
  <c r="Q22" i="4"/>
  <c r="Q21" i="4"/>
  <c r="E5" i="11"/>
  <c r="F5" i="11"/>
  <c r="F7" i="11" s="1"/>
  <c r="G5" i="11"/>
  <c r="G7" i="11" s="1"/>
  <c r="H5" i="11"/>
  <c r="H7" i="11" s="1"/>
  <c r="I5" i="11"/>
  <c r="J5" i="11"/>
  <c r="K5" i="11"/>
  <c r="K7" i="11" s="1"/>
  <c r="L5" i="11"/>
  <c r="M5" i="11"/>
  <c r="N5" i="11"/>
  <c r="N7" i="11" s="1"/>
  <c r="O5" i="11"/>
  <c r="P5" i="11"/>
  <c r="C9" i="11"/>
  <c r="C8" i="11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P6" i="12"/>
  <c r="P7" i="12" s="1"/>
  <c r="O6" i="12"/>
  <c r="N6" i="12"/>
  <c r="M6" i="12"/>
  <c r="L6" i="12"/>
  <c r="L7" i="12" s="1"/>
  <c r="K6" i="12"/>
  <c r="J6" i="12"/>
  <c r="I6" i="12"/>
  <c r="H6" i="12"/>
  <c r="G6" i="12"/>
  <c r="F6" i="12"/>
  <c r="E6" i="12"/>
  <c r="O7" i="12"/>
  <c r="N7" i="12"/>
  <c r="M7" i="12"/>
  <c r="K7" i="12"/>
  <c r="J7" i="12"/>
  <c r="I7" i="12"/>
  <c r="H7" i="12"/>
  <c r="G7" i="12"/>
  <c r="F7" i="12"/>
  <c r="E7" i="12"/>
  <c r="E2" i="12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6" i="11" s="1"/>
  <c r="Q17" i="4" s="1"/>
  <c r="Q19" i="11"/>
  <c r="Q18" i="11"/>
  <c r="Q17" i="11"/>
  <c r="Q16" i="11"/>
  <c r="Q15" i="11"/>
  <c r="Q14" i="11"/>
  <c r="Q13" i="11"/>
  <c r="Q12" i="11"/>
  <c r="Q11" i="11"/>
  <c r="P6" i="11"/>
  <c r="O6" i="11"/>
  <c r="N6" i="11"/>
  <c r="M6" i="11"/>
  <c r="L6" i="11"/>
  <c r="K6" i="11"/>
  <c r="J6" i="11"/>
  <c r="J7" i="11" s="1"/>
  <c r="I6" i="11"/>
  <c r="I7" i="11" s="1"/>
  <c r="H6" i="11"/>
  <c r="G6" i="11"/>
  <c r="F6" i="11"/>
  <c r="E6" i="11"/>
  <c r="O7" i="11"/>
  <c r="E2" i="11"/>
  <c r="E5" i="10"/>
  <c r="F5" i="10"/>
  <c r="G5" i="10"/>
  <c r="G7" i="10" s="1"/>
  <c r="H5" i="10"/>
  <c r="H7" i="10" s="1"/>
  <c r="I5" i="10"/>
  <c r="I7" i="10" s="1"/>
  <c r="J5" i="10"/>
  <c r="J7" i="10" s="1"/>
  <c r="K5" i="10"/>
  <c r="L5" i="10"/>
  <c r="L7" i="10" s="1"/>
  <c r="M5" i="10"/>
  <c r="N5" i="10"/>
  <c r="N7" i="10" s="1"/>
  <c r="O5" i="10"/>
  <c r="P5" i="10"/>
  <c r="C9" i="10"/>
  <c r="C8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6" i="10" s="1"/>
  <c r="Q17" i="10"/>
  <c r="Q16" i="10"/>
  <c r="Q15" i="10"/>
  <c r="Q14" i="10"/>
  <c r="Q13" i="10"/>
  <c r="Q12" i="10"/>
  <c r="Q11" i="10"/>
  <c r="P6" i="10"/>
  <c r="O6" i="10"/>
  <c r="N6" i="10"/>
  <c r="M6" i="10"/>
  <c r="L6" i="10"/>
  <c r="K6" i="10"/>
  <c r="K7" i="10" s="1"/>
  <c r="J6" i="10"/>
  <c r="I6" i="10"/>
  <c r="H6" i="10"/>
  <c r="G6" i="10"/>
  <c r="F6" i="10"/>
  <c r="E6" i="10"/>
  <c r="P7" i="10"/>
  <c r="M7" i="10"/>
  <c r="E2" i="10"/>
  <c r="Q6" i="12" l="1"/>
  <c r="F7" i="10"/>
  <c r="P7" i="11"/>
  <c r="O7" i="10"/>
  <c r="M7" i="11"/>
  <c r="E7" i="11"/>
  <c r="E7" i="10"/>
  <c r="Q18" i="4"/>
  <c r="L7" i="11"/>
  <c r="Q16" i="4"/>
  <c r="H1" i="3"/>
  <c r="E2" i="9"/>
  <c r="E2" i="8"/>
  <c r="E2" i="7"/>
  <c r="E2" i="6"/>
  <c r="E2" i="5"/>
  <c r="E5" i="9"/>
  <c r="F5" i="9"/>
  <c r="F7" i="9" s="1"/>
  <c r="G5" i="9"/>
  <c r="H5" i="9"/>
  <c r="H7" i="9" s="1"/>
  <c r="I5" i="9"/>
  <c r="J5" i="9"/>
  <c r="K5" i="9"/>
  <c r="L5" i="9"/>
  <c r="L7" i="9" s="1"/>
  <c r="M5" i="9"/>
  <c r="N5" i="9"/>
  <c r="O5" i="9"/>
  <c r="P5" i="9"/>
  <c r="E5" i="8"/>
  <c r="F5" i="8"/>
  <c r="G5" i="8"/>
  <c r="H5" i="8"/>
  <c r="I5" i="8"/>
  <c r="J5" i="8"/>
  <c r="K5" i="8"/>
  <c r="K7" i="8" s="1"/>
  <c r="L5" i="8"/>
  <c r="M5" i="8"/>
  <c r="M7" i="8" s="1"/>
  <c r="N5" i="8"/>
  <c r="N7" i="8" s="1"/>
  <c r="O5" i="8"/>
  <c r="O7" i="8" s="1"/>
  <c r="P5" i="8"/>
  <c r="C9" i="9"/>
  <c r="C8" i="9"/>
  <c r="C9" i="8"/>
  <c r="C8" i="8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6" i="9" s="1"/>
  <c r="Q14" i="4" s="1"/>
  <c r="Q17" i="9"/>
  <c r="Q16" i="9"/>
  <c r="Q15" i="9"/>
  <c r="Q14" i="9"/>
  <c r="Q13" i="9"/>
  <c r="Q12" i="9"/>
  <c r="Q11" i="9"/>
  <c r="P6" i="9"/>
  <c r="O6" i="9"/>
  <c r="N6" i="9"/>
  <c r="N7" i="9" s="1"/>
  <c r="M6" i="9"/>
  <c r="L6" i="9"/>
  <c r="K6" i="9"/>
  <c r="J6" i="9"/>
  <c r="J7" i="9" s="1"/>
  <c r="I6" i="9"/>
  <c r="H6" i="9"/>
  <c r="G6" i="9"/>
  <c r="F6" i="9"/>
  <c r="E6" i="9"/>
  <c r="O7" i="9"/>
  <c r="M7" i="9"/>
  <c r="K7" i="9"/>
  <c r="I7" i="9"/>
  <c r="G7" i="9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P6" i="8"/>
  <c r="O6" i="8"/>
  <c r="N6" i="8"/>
  <c r="M6" i="8"/>
  <c r="L6" i="8"/>
  <c r="K6" i="8"/>
  <c r="J6" i="8"/>
  <c r="I6" i="8"/>
  <c r="I7" i="8" s="1"/>
  <c r="H6" i="8"/>
  <c r="G6" i="8"/>
  <c r="F6" i="8"/>
  <c r="E6" i="8"/>
  <c r="J7" i="8"/>
  <c r="G7" i="8"/>
  <c r="F7" i="8"/>
  <c r="E5" i="7"/>
  <c r="F5" i="7"/>
  <c r="G5" i="7"/>
  <c r="H5" i="7"/>
  <c r="I5" i="7"/>
  <c r="J5" i="7"/>
  <c r="K5" i="7"/>
  <c r="L5" i="7"/>
  <c r="L7" i="7" s="1"/>
  <c r="M5" i="7"/>
  <c r="M7" i="7" s="1"/>
  <c r="N5" i="7"/>
  <c r="O5" i="7"/>
  <c r="P5" i="7"/>
  <c r="P7" i="7" s="1"/>
  <c r="C9" i="7"/>
  <c r="C8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P6" i="7"/>
  <c r="O6" i="7"/>
  <c r="N6" i="7"/>
  <c r="M6" i="7"/>
  <c r="L6" i="7"/>
  <c r="K6" i="7"/>
  <c r="J6" i="7"/>
  <c r="I6" i="7"/>
  <c r="I7" i="7" s="1"/>
  <c r="H6" i="7"/>
  <c r="H7" i="7" s="1"/>
  <c r="G6" i="7"/>
  <c r="F6" i="7"/>
  <c r="E6" i="7"/>
  <c r="N7" i="7"/>
  <c r="C8" i="6"/>
  <c r="C9" i="6"/>
  <c r="R73" i="4"/>
  <c r="S73" i="4"/>
  <c r="E5" i="6"/>
  <c r="F5" i="6"/>
  <c r="F7" i="6" s="1"/>
  <c r="G5" i="6"/>
  <c r="H5" i="6"/>
  <c r="H7" i="6" s="1"/>
  <c r="I5" i="6"/>
  <c r="J5" i="6"/>
  <c r="K5" i="6"/>
  <c r="L5" i="6"/>
  <c r="L7" i="6" s="1"/>
  <c r="M5" i="6"/>
  <c r="M7" i="6" s="1"/>
  <c r="N5" i="6"/>
  <c r="O5" i="6"/>
  <c r="O7" i="6" s="1"/>
  <c r="P5" i="6"/>
  <c r="P7" i="6" s="1"/>
  <c r="E5" i="5"/>
  <c r="F5" i="5"/>
  <c r="G5" i="5"/>
  <c r="H5" i="5"/>
  <c r="I5" i="5"/>
  <c r="J5" i="5"/>
  <c r="K5" i="5"/>
  <c r="L5" i="5"/>
  <c r="M5" i="5"/>
  <c r="N5" i="5"/>
  <c r="O5" i="5"/>
  <c r="P5" i="5"/>
  <c r="G7" i="6"/>
  <c r="K7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P6" i="6"/>
  <c r="O6" i="6"/>
  <c r="N6" i="6"/>
  <c r="M6" i="6"/>
  <c r="L6" i="6"/>
  <c r="K6" i="6"/>
  <c r="J6" i="6"/>
  <c r="J7" i="6" s="1"/>
  <c r="I6" i="6"/>
  <c r="H6" i="6"/>
  <c r="G6" i="6"/>
  <c r="F6" i="6"/>
  <c r="E6" i="6"/>
  <c r="N7" i="6"/>
  <c r="L7" i="8" l="1"/>
  <c r="H7" i="8"/>
  <c r="J7" i="7"/>
  <c r="I7" i="6"/>
  <c r="P7" i="8"/>
  <c r="P7" i="9"/>
  <c r="F7" i="7"/>
  <c r="Q6" i="7"/>
  <c r="Q12" i="4" s="1"/>
  <c r="E7" i="9"/>
  <c r="E7" i="8"/>
  <c r="Q6" i="8"/>
  <c r="Q13" i="4" s="1"/>
  <c r="E7" i="7"/>
  <c r="G7" i="7"/>
  <c r="K7" i="7"/>
  <c r="O7" i="7"/>
  <c r="E7" i="6"/>
  <c r="Q6" i="6"/>
  <c r="Q11" i="4" s="1"/>
  <c r="C9" i="5"/>
  <c r="C8" i="5"/>
  <c r="J7" i="5"/>
  <c r="L7" i="5"/>
  <c r="N7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P6" i="5"/>
  <c r="O6" i="5"/>
  <c r="N6" i="5"/>
  <c r="M6" i="5"/>
  <c r="M7" i="5" s="1"/>
  <c r="L6" i="5"/>
  <c r="K6" i="5"/>
  <c r="K7" i="5" s="1"/>
  <c r="J6" i="5"/>
  <c r="I6" i="5"/>
  <c r="I7" i="5" s="1"/>
  <c r="H6" i="5"/>
  <c r="H7" i="5" s="1"/>
  <c r="G6" i="5"/>
  <c r="G7" i="5" s="1"/>
  <c r="F6" i="5"/>
  <c r="F7" i="5" s="1"/>
  <c r="E6" i="5"/>
  <c r="E7" i="5" s="1"/>
  <c r="P7" i="5"/>
  <c r="O7" i="5"/>
  <c r="P11" i="4"/>
  <c r="Q5" i="6" s="1"/>
  <c r="P12" i="4"/>
  <c r="Q5" i="7" s="1"/>
  <c r="P13" i="4"/>
  <c r="Q5" i="8" s="1"/>
  <c r="P14" i="4"/>
  <c r="Q5" i="9" s="1"/>
  <c r="Q7" i="9" s="1"/>
  <c r="P16" i="4"/>
  <c r="Q5" i="10" s="1"/>
  <c r="Q7" i="10" s="1"/>
  <c r="P17" i="4"/>
  <c r="Q5" i="11" s="1"/>
  <c r="Q7" i="11" s="1"/>
  <c r="P18" i="4"/>
  <c r="Q5" i="12" s="1"/>
  <c r="Q7" i="12" s="1"/>
  <c r="P19" i="4"/>
  <c r="Q5" i="13" s="1"/>
  <c r="Q7" i="13" s="1"/>
  <c r="P20" i="4"/>
  <c r="Q5" i="14" s="1"/>
  <c r="Q7" i="14" s="1"/>
  <c r="P21" i="4"/>
  <c r="Q5" i="15" s="1"/>
  <c r="Q7" i="15" s="1"/>
  <c r="P22" i="4"/>
  <c r="Q5" i="16" s="1"/>
  <c r="Q7" i="16" s="1"/>
  <c r="P23" i="4"/>
  <c r="Q5" i="17" s="1"/>
  <c r="Q7" i="17" s="1"/>
  <c r="P24" i="4"/>
  <c r="Q5" i="18" s="1"/>
  <c r="Q7" i="18" s="1"/>
  <c r="P25" i="4"/>
  <c r="Q5" i="19" s="1"/>
  <c r="Q7" i="19" s="1"/>
  <c r="P26" i="4"/>
  <c r="Q5" i="20" s="1"/>
  <c r="Q7" i="20" s="1"/>
  <c r="P27" i="4"/>
  <c r="Q5" i="21" s="1"/>
  <c r="Q7" i="21" s="1"/>
  <c r="P28" i="4"/>
  <c r="Q5" i="22" s="1"/>
  <c r="Q7" i="22" s="1"/>
  <c r="P29" i="4"/>
  <c r="Q5" i="23" s="1"/>
  <c r="Q7" i="23" s="1"/>
  <c r="P31" i="4"/>
  <c r="Q5" i="24" s="1"/>
  <c r="Q7" i="24" s="1"/>
  <c r="P32" i="4"/>
  <c r="Q5" i="25" s="1"/>
  <c r="Q7" i="25" s="1"/>
  <c r="P33" i="4"/>
  <c r="Q5" i="26" s="1"/>
  <c r="Q7" i="26" s="1"/>
  <c r="P34" i="4"/>
  <c r="Q5" i="27" s="1"/>
  <c r="Q7" i="27" s="1"/>
  <c r="P35" i="4"/>
  <c r="Q5" i="28" s="1"/>
  <c r="Q7" i="28" s="1"/>
  <c r="P36" i="4"/>
  <c r="Q5" i="29" s="1"/>
  <c r="Q7" i="29" s="1"/>
  <c r="P37" i="4"/>
  <c r="Q5" i="30" s="1"/>
  <c r="Q7" i="30" s="1"/>
  <c r="P38" i="4"/>
  <c r="Q5" i="31" s="1"/>
  <c r="Q7" i="31" s="1"/>
  <c r="P39" i="4"/>
  <c r="Q5" i="32" s="1"/>
  <c r="Q7" i="32" s="1"/>
  <c r="P40" i="4"/>
  <c r="Q5" i="33" s="1"/>
  <c r="Q7" i="33" s="1"/>
  <c r="P41" i="4"/>
  <c r="Q5" i="34" s="1"/>
  <c r="Q7" i="34" s="1"/>
  <c r="P42" i="4"/>
  <c r="Q5" i="35" s="1"/>
  <c r="Q7" i="35" s="1"/>
  <c r="P43" i="4"/>
  <c r="Q5" i="36" s="1"/>
  <c r="Q7" i="36" s="1"/>
  <c r="P44" i="4"/>
  <c r="Q5" i="37" s="1"/>
  <c r="Q7" i="37" s="1"/>
  <c r="P46" i="4"/>
  <c r="Q5" i="38" s="1"/>
  <c r="Q7" i="38" s="1"/>
  <c r="P47" i="4"/>
  <c r="Q5" i="39" s="1"/>
  <c r="Q7" i="39" s="1"/>
  <c r="P48" i="4"/>
  <c r="Q5" i="40" s="1"/>
  <c r="Q7" i="40" s="1"/>
  <c r="P49" i="4"/>
  <c r="Q5" i="41" s="1"/>
  <c r="Q7" i="41" s="1"/>
  <c r="P50" i="4"/>
  <c r="Q5" i="42" s="1"/>
  <c r="Q7" i="42" s="1"/>
  <c r="P51" i="4"/>
  <c r="Q5" i="43" s="1"/>
  <c r="Q7" i="43" s="1"/>
  <c r="P52" i="4"/>
  <c r="Q5" i="44" s="1"/>
  <c r="Q7" i="44" s="1"/>
  <c r="P53" i="4"/>
  <c r="Q5" i="45" s="1"/>
  <c r="Q7" i="45" s="1"/>
  <c r="P54" i="4"/>
  <c r="Q5" i="46" s="1"/>
  <c r="Q7" i="46" s="1"/>
  <c r="P55" i="4"/>
  <c r="Q5" i="47" s="1"/>
  <c r="Q7" i="47" s="1"/>
  <c r="P56" i="4"/>
  <c r="Q5" i="48" s="1"/>
  <c r="Q7" i="48" s="1"/>
  <c r="P57" i="4"/>
  <c r="Q5" i="49" s="1"/>
  <c r="Q7" i="49" s="1"/>
  <c r="P58" i="4"/>
  <c r="Q5" i="50" s="1"/>
  <c r="Q7" i="50" s="1"/>
  <c r="P59" i="4"/>
  <c r="Q5" i="51" s="1"/>
  <c r="Q7" i="51" s="1"/>
  <c r="P60" i="4"/>
  <c r="Q5" i="52" s="1"/>
  <c r="Q7" i="52" s="1"/>
  <c r="P61" i="4"/>
  <c r="Q5" i="53" s="1"/>
  <c r="Q7" i="53" s="1"/>
  <c r="P62" i="4"/>
  <c r="Q5" i="54" s="1"/>
  <c r="Q7" i="54" s="1"/>
  <c r="P64" i="4"/>
  <c r="Q5" i="55" s="1"/>
  <c r="Q7" i="55" s="1"/>
  <c r="P65" i="4"/>
  <c r="Q5" i="56" s="1"/>
  <c r="Q7" i="56" s="1"/>
  <c r="P66" i="4"/>
  <c r="Q5" i="57" s="1"/>
  <c r="Q7" i="57" s="1"/>
  <c r="P67" i="4"/>
  <c r="Q5" i="58" s="1"/>
  <c r="Q7" i="58" s="1"/>
  <c r="P68" i="4"/>
  <c r="Q5" i="59" s="1"/>
  <c r="Q7" i="59" s="1"/>
  <c r="P69" i="4"/>
  <c r="Q5" i="60" s="1"/>
  <c r="Q7" i="60" s="1"/>
  <c r="P70" i="4"/>
  <c r="Q5" i="61" s="1"/>
  <c r="Q7" i="61" s="1"/>
  <c r="P71" i="4"/>
  <c r="Q5" i="62" s="1"/>
  <c r="Q7" i="62" s="1"/>
  <c r="P74" i="4"/>
  <c r="Q5" i="64" s="1"/>
  <c r="Q7" i="64" s="1"/>
  <c r="P75" i="4"/>
  <c r="Q5" i="65" s="1"/>
  <c r="Q7" i="65" s="1"/>
  <c r="P76" i="4"/>
  <c r="Q5" i="66" s="1"/>
  <c r="Q7" i="66" s="1"/>
  <c r="P77" i="4"/>
  <c r="Q5" i="67" s="1"/>
  <c r="Q7" i="67" s="1"/>
  <c r="P78" i="4"/>
  <c r="Q5" i="68" s="1"/>
  <c r="Q7" i="68" s="1"/>
  <c r="P79" i="4"/>
  <c r="Q5" i="69" s="1"/>
  <c r="Q7" i="69" s="1"/>
  <c r="P80" i="4"/>
  <c r="Q5" i="70" s="1"/>
  <c r="Q7" i="70" s="1"/>
  <c r="P81" i="4"/>
  <c r="Q5" i="71" s="1"/>
  <c r="Q7" i="71" s="1"/>
  <c r="P82" i="4"/>
  <c r="Q5" i="72" s="1"/>
  <c r="Q7" i="72" s="1"/>
  <c r="P84" i="4"/>
  <c r="Q5" i="73" s="1"/>
  <c r="Q7" i="73" s="1"/>
  <c r="P85" i="4"/>
  <c r="Q5" i="74" s="1"/>
  <c r="Q7" i="74" s="1"/>
  <c r="P86" i="4"/>
  <c r="Q5" i="75" s="1"/>
  <c r="Q7" i="75" s="1"/>
  <c r="P87" i="4"/>
  <c r="Q5" i="76" s="1"/>
  <c r="Q7" i="76" s="1"/>
  <c r="P88" i="4"/>
  <c r="P90" i="4"/>
  <c r="Q5" i="78" s="1"/>
  <c r="Q7" i="78" s="1"/>
  <c r="P91" i="4"/>
  <c r="Q5" i="79" s="1"/>
  <c r="Q7" i="79" s="1"/>
  <c r="P92" i="4"/>
  <c r="Q5" i="80" s="1"/>
  <c r="Q7" i="80" s="1"/>
  <c r="P93" i="4"/>
  <c r="Q5" i="81" s="1"/>
  <c r="Q7" i="81" s="1"/>
  <c r="P94" i="4"/>
  <c r="Q5" i="82" s="1"/>
  <c r="Q7" i="82" s="1"/>
  <c r="P95" i="4"/>
  <c r="Q5" i="83" s="1"/>
  <c r="Q7" i="83" s="1"/>
  <c r="P96" i="4"/>
  <c r="Q5" i="84" s="1"/>
  <c r="Q7" i="84" s="1"/>
  <c r="P97" i="4"/>
  <c r="Q5" i="85" s="1"/>
  <c r="Q7" i="85" s="1"/>
  <c r="P98" i="4"/>
  <c r="P99" i="4"/>
  <c r="Q5" i="87" s="1"/>
  <c r="Q7" i="87" s="1"/>
  <c r="P101" i="4"/>
  <c r="Q5" i="88" s="1"/>
  <c r="Q7" i="88" s="1"/>
  <c r="P102" i="4"/>
  <c r="Q5" i="89" s="1"/>
  <c r="Q7" i="89" s="1"/>
  <c r="P103" i="4"/>
  <c r="Q5" i="90" s="1"/>
  <c r="Q7" i="90" s="1"/>
  <c r="P104" i="4"/>
  <c r="Q5" i="91" s="1"/>
  <c r="Q7" i="91" s="1"/>
  <c r="P105" i="4"/>
  <c r="Q5" i="92" s="1"/>
  <c r="Q7" i="92" s="1"/>
  <c r="P106" i="4"/>
  <c r="Q5" i="93" s="1"/>
  <c r="Q7" i="93" s="1"/>
  <c r="P107" i="4"/>
  <c r="Q5" i="94" s="1"/>
  <c r="Q7" i="94" s="1"/>
  <c r="P108" i="4"/>
  <c r="Q5" i="95" s="1"/>
  <c r="Q7" i="95" s="1"/>
  <c r="P109" i="4"/>
  <c r="Q5" i="96" s="1"/>
  <c r="Q7" i="96" s="1"/>
  <c r="P110" i="4"/>
  <c r="Q5" i="97" s="1"/>
  <c r="Q7" i="97" s="1"/>
  <c r="P111" i="4"/>
  <c r="Q5" i="98" s="1"/>
  <c r="Q7" i="98" s="1"/>
  <c r="P112" i="4"/>
  <c r="Q5" i="99" s="1"/>
  <c r="Q7" i="99" s="1"/>
  <c r="P113" i="4"/>
  <c r="Q5" i="100" s="1"/>
  <c r="Q7" i="100" s="1"/>
  <c r="P114" i="4"/>
  <c r="Q5" i="101" s="1"/>
  <c r="Q7" i="101" s="1"/>
  <c r="P115" i="4"/>
  <c r="Q5" i="102" s="1"/>
  <c r="Q7" i="102" s="1"/>
  <c r="P116" i="4"/>
  <c r="Q5" i="103" s="1"/>
  <c r="Q7" i="103" s="1"/>
  <c r="P117" i="4"/>
  <c r="Q5" i="104" s="1"/>
  <c r="Q7" i="104" s="1"/>
  <c r="P118" i="4"/>
  <c r="Q5" i="105" s="1"/>
  <c r="Q7" i="105" s="1"/>
  <c r="P119" i="4"/>
  <c r="Q5" i="106" s="1"/>
  <c r="Q7" i="106" s="1"/>
  <c r="P120" i="4"/>
  <c r="Q5" i="107" s="1"/>
  <c r="Q7" i="107" s="1"/>
  <c r="P10" i="4"/>
  <c r="Q5" i="5" s="1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99" i="4"/>
  <c r="A98" i="4"/>
  <c r="A97" i="4"/>
  <c r="A96" i="4"/>
  <c r="A95" i="4"/>
  <c r="A94" i="4"/>
  <c r="A93" i="4"/>
  <c r="A92" i="4"/>
  <c r="A91" i="4"/>
  <c r="A90" i="4"/>
  <c r="A88" i="4"/>
  <c r="A87" i="4"/>
  <c r="A86" i="4"/>
  <c r="A85" i="4"/>
  <c r="A84" i="4"/>
  <c r="A82" i="4"/>
  <c r="A81" i="4"/>
  <c r="A80" i="4"/>
  <c r="A79" i="4"/>
  <c r="A78" i="4"/>
  <c r="A77" i="4"/>
  <c r="A76" i="4"/>
  <c r="A75" i="4"/>
  <c r="A74" i="4"/>
  <c r="A73" i="4"/>
  <c r="A71" i="4"/>
  <c r="A70" i="4"/>
  <c r="A69" i="4"/>
  <c r="A68" i="4"/>
  <c r="A67" i="4"/>
  <c r="A66" i="4"/>
  <c r="A65" i="4"/>
  <c r="A64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4" i="4"/>
  <c r="A13" i="4"/>
  <c r="A12" i="4"/>
  <c r="A11" i="4"/>
  <c r="A10" i="4"/>
  <c r="O5" i="4"/>
  <c r="N5" i="4"/>
  <c r="M5" i="4"/>
  <c r="L5" i="4"/>
  <c r="K5" i="4"/>
  <c r="J5" i="4"/>
  <c r="I5" i="4"/>
  <c r="H5" i="4"/>
  <c r="G5" i="4"/>
  <c r="F5" i="4"/>
  <c r="E5" i="4"/>
  <c r="D5" i="4"/>
  <c r="G1" i="4"/>
  <c r="F1" i="4"/>
  <c r="Q7" i="7" l="1"/>
  <c r="Q5" i="86"/>
  <c r="Q7" i="86" s="1"/>
  <c r="Q5" i="77"/>
  <c r="Q7" i="77" s="1"/>
  <c r="S119" i="4"/>
  <c r="R119" i="4"/>
  <c r="R115" i="4"/>
  <c r="S115" i="4"/>
  <c r="R111" i="4"/>
  <c r="S111" i="4"/>
  <c r="R103" i="4"/>
  <c r="S103" i="4"/>
  <c r="R118" i="4"/>
  <c r="S118" i="4"/>
  <c r="R114" i="4"/>
  <c r="S114" i="4"/>
  <c r="R110" i="4"/>
  <c r="S110" i="4"/>
  <c r="R106" i="4"/>
  <c r="S106" i="4"/>
  <c r="R113" i="4"/>
  <c r="S113" i="4"/>
  <c r="R109" i="4"/>
  <c r="S109" i="4"/>
  <c r="S105" i="4"/>
  <c r="R105" i="4"/>
  <c r="R117" i="4"/>
  <c r="S117" i="4"/>
  <c r="R120" i="4"/>
  <c r="S120" i="4"/>
  <c r="R116" i="4"/>
  <c r="S116" i="4"/>
  <c r="R112" i="4"/>
  <c r="S112" i="4"/>
  <c r="R108" i="4"/>
  <c r="S108" i="4"/>
  <c r="R104" i="4"/>
  <c r="S104" i="4"/>
  <c r="R107" i="4"/>
  <c r="S107" i="4"/>
  <c r="S102" i="4"/>
  <c r="R102" i="4"/>
  <c r="S101" i="4"/>
  <c r="R101" i="4"/>
  <c r="R97" i="4"/>
  <c r="S97" i="4"/>
  <c r="R93" i="4"/>
  <c r="S93" i="4"/>
  <c r="S96" i="4"/>
  <c r="R96" i="4"/>
  <c r="S92" i="4"/>
  <c r="R92" i="4"/>
  <c r="R99" i="4"/>
  <c r="S99" i="4"/>
  <c r="R95" i="4"/>
  <c r="S95" i="4"/>
  <c r="S98" i="4"/>
  <c r="R98" i="4"/>
  <c r="S94" i="4"/>
  <c r="R94" i="4"/>
  <c r="S90" i="4"/>
  <c r="R90" i="4"/>
  <c r="R91" i="4"/>
  <c r="S91" i="4"/>
  <c r="S88" i="4"/>
  <c r="R88" i="4"/>
  <c r="R87" i="4"/>
  <c r="S87" i="4"/>
  <c r="R86" i="4"/>
  <c r="S86" i="4"/>
  <c r="S85" i="4"/>
  <c r="R85" i="4"/>
  <c r="S84" i="4"/>
  <c r="R84" i="4"/>
  <c r="S79" i="4"/>
  <c r="R79" i="4"/>
  <c r="S75" i="4"/>
  <c r="R75" i="4"/>
  <c r="S82" i="4"/>
  <c r="R82" i="4"/>
  <c r="S78" i="4"/>
  <c r="R78" i="4"/>
  <c r="R81" i="4"/>
  <c r="S81" i="4"/>
  <c r="R77" i="4"/>
  <c r="S77" i="4"/>
  <c r="S80" i="4"/>
  <c r="R80" i="4"/>
  <c r="S76" i="4"/>
  <c r="R76" i="4"/>
  <c r="R74" i="4"/>
  <c r="S74" i="4"/>
  <c r="R70" i="4"/>
  <c r="S70" i="4"/>
  <c r="R66" i="4"/>
  <c r="S66" i="4"/>
  <c r="S69" i="4"/>
  <c r="R69" i="4"/>
  <c r="R68" i="4"/>
  <c r="S68" i="4"/>
  <c r="S71" i="4"/>
  <c r="R71" i="4"/>
  <c r="S67" i="4"/>
  <c r="R67" i="4"/>
  <c r="R65" i="4"/>
  <c r="S65" i="4"/>
  <c r="R64" i="4"/>
  <c r="S64" i="4"/>
  <c r="R61" i="4"/>
  <c r="S61" i="4"/>
  <c r="R57" i="4"/>
  <c r="S57" i="4"/>
  <c r="R53" i="4"/>
  <c r="S53" i="4"/>
  <c r="R49" i="4"/>
  <c r="S49" i="4"/>
  <c r="R60" i="4"/>
  <c r="S60" i="4"/>
  <c r="R56" i="4"/>
  <c r="S56" i="4"/>
  <c r="R52" i="4"/>
  <c r="S52" i="4"/>
  <c r="R48" i="4"/>
  <c r="S48" i="4"/>
  <c r="R59" i="4"/>
  <c r="S59" i="4"/>
  <c r="R55" i="4"/>
  <c r="S55" i="4"/>
  <c r="R51" i="4"/>
  <c r="S51" i="4"/>
  <c r="R62" i="4"/>
  <c r="S62" i="4"/>
  <c r="R58" i="4"/>
  <c r="S58" i="4"/>
  <c r="R54" i="4"/>
  <c r="S54" i="4"/>
  <c r="R50" i="4"/>
  <c r="S50" i="4"/>
  <c r="R47" i="4"/>
  <c r="S47" i="4"/>
  <c r="R46" i="4"/>
  <c r="S46" i="4"/>
  <c r="R44" i="4"/>
  <c r="S44" i="4"/>
  <c r="R40" i="4"/>
  <c r="S40" i="4"/>
  <c r="R43" i="4"/>
  <c r="S43" i="4"/>
  <c r="R39" i="4"/>
  <c r="S39" i="4"/>
  <c r="R35" i="4"/>
  <c r="S35" i="4"/>
  <c r="R34" i="4"/>
  <c r="S34" i="4"/>
  <c r="R42" i="4"/>
  <c r="S42" i="4"/>
  <c r="R38" i="4"/>
  <c r="S38" i="4"/>
  <c r="R41" i="4"/>
  <c r="S41" i="4"/>
  <c r="R37" i="4"/>
  <c r="S37" i="4"/>
  <c r="R33" i="4"/>
  <c r="S33" i="4"/>
  <c r="R36" i="4"/>
  <c r="S36" i="4"/>
  <c r="R32" i="4"/>
  <c r="S32" i="4"/>
  <c r="R31" i="4"/>
  <c r="S31" i="4"/>
  <c r="P5" i="4"/>
  <c r="S28" i="4"/>
  <c r="R28" i="4"/>
  <c r="R23" i="4"/>
  <c r="S23" i="4"/>
  <c r="R26" i="4"/>
  <c r="S26" i="4"/>
  <c r="S29" i="4"/>
  <c r="R29" i="4"/>
  <c r="S25" i="4"/>
  <c r="R25" i="4"/>
  <c r="S24" i="4"/>
  <c r="R24" i="4"/>
  <c r="S27" i="4"/>
  <c r="R27" i="4"/>
  <c r="R22" i="4"/>
  <c r="S22" i="4"/>
  <c r="R21" i="4"/>
  <c r="S21" i="4"/>
  <c r="R20" i="4"/>
  <c r="S20" i="4"/>
  <c r="R19" i="4"/>
  <c r="S19" i="4"/>
  <c r="R18" i="4"/>
  <c r="S18" i="4"/>
  <c r="R16" i="4"/>
  <c r="S16" i="4"/>
  <c r="Q7" i="8"/>
  <c r="S17" i="4"/>
  <c r="R17" i="4"/>
  <c r="R14" i="4"/>
  <c r="S14" i="4"/>
  <c r="R13" i="4"/>
  <c r="S13" i="4"/>
  <c r="R12" i="4"/>
  <c r="S12" i="4"/>
  <c r="R11" i="4"/>
  <c r="S11" i="4"/>
  <c r="Q7" i="6"/>
  <c r="Q6" i="5"/>
  <c r="M4" i="4"/>
  <c r="M6" i="4" s="1"/>
  <c r="G1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O4" i="4"/>
  <c r="O6" i="4" s="1"/>
  <c r="N4" i="4"/>
  <c r="N6" i="4" s="1"/>
  <c r="L4" i="4"/>
  <c r="L6" i="4" s="1"/>
  <c r="K4" i="4"/>
  <c r="K6" i="4" s="1"/>
  <c r="J4" i="4"/>
  <c r="J6" i="4" s="1"/>
  <c r="I4" i="4"/>
  <c r="I6" i="4" s="1"/>
  <c r="H4" i="4"/>
  <c r="H6" i="4" s="1"/>
  <c r="G4" i="4"/>
  <c r="G6" i="4" s="1"/>
  <c r="F4" i="4"/>
  <c r="F6" i="4" s="1"/>
  <c r="E4" i="4"/>
  <c r="E6" i="4" s="1"/>
  <c r="D4" i="4"/>
  <c r="P4" i="4" l="1"/>
  <c r="P6" i="4" s="1"/>
  <c r="D6" i="4"/>
  <c r="Q7" i="5"/>
  <c r="Q10" i="4"/>
  <c r="Q5" i="4" s="1"/>
  <c r="R5" i="4" s="1"/>
  <c r="Q4" i="3"/>
  <c r="E5" i="1"/>
  <c r="E6" i="1" s="1"/>
  <c r="F5" i="1"/>
  <c r="F6" i="1" s="1"/>
  <c r="G5" i="1"/>
  <c r="G6" i="1" s="1"/>
  <c r="H5" i="1"/>
  <c r="H6" i="1" s="1"/>
  <c r="I5" i="1"/>
  <c r="I6" i="1" s="1"/>
  <c r="J5" i="1"/>
  <c r="K5" i="1"/>
  <c r="K6" i="1" s="1"/>
  <c r="L5" i="1"/>
  <c r="M5" i="1"/>
  <c r="M6" i="1" s="1"/>
  <c r="N5" i="1"/>
  <c r="O5" i="1"/>
  <c r="O6" i="1" s="1"/>
  <c r="D5" i="1"/>
  <c r="D6" i="1" s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01" i="1"/>
  <c r="A91" i="1"/>
  <c r="A92" i="1"/>
  <c r="A93" i="1"/>
  <c r="A94" i="1"/>
  <c r="A95" i="1"/>
  <c r="A96" i="1"/>
  <c r="A97" i="1"/>
  <c r="A98" i="1"/>
  <c r="A99" i="1"/>
  <c r="A90" i="1"/>
  <c r="A85" i="1"/>
  <c r="A86" i="1"/>
  <c r="A87" i="1"/>
  <c r="A88" i="1"/>
  <c r="A84" i="1"/>
  <c r="A74" i="1"/>
  <c r="A75" i="1"/>
  <c r="A76" i="1"/>
  <c r="A77" i="1"/>
  <c r="A78" i="1"/>
  <c r="A79" i="1"/>
  <c r="A80" i="1"/>
  <c r="A81" i="1"/>
  <c r="A82" i="1"/>
  <c r="A73" i="1"/>
  <c r="A65" i="1"/>
  <c r="A66" i="1"/>
  <c r="A67" i="1"/>
  <c r="A68" i="1"/>
  <c r="A69" i="1"/>
  <c r="A70" i="1"/>
  <c r="A71" i="1"/>
  <c r="A64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46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31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16" i="1"/>
  <c r="A11" i="1"/>
  <c r="A12" i="1"/>
  <c r="A13" i="1"/>
  <c r="A14" i="1"/>
  <c r="A10" i="1"/>
  <c r="F1" i="1"/>
  <c r="G1" i="1"/>
  <c r="J6" i="1"/>
  <c r="L6" i="1"/>
  <c r="N6" i="1"/>
  <c r="P4" i="1"/>
  <c r="S10" i="4" l="1"/>
  <c r="S5" i="4" s="1"/>
  <c r="R10" i="4"/>
  <c r="P5" i="1"/>
  <c r="P6" i="1" s="1"/>
</calcChain>
</file>

<file path=xl/sharedStrings.xml><?xml version="1.0" encoding="utf-8"?>
<sst xmlns="http://schemas.openxmlformats.org/spreadsheetml/2006/main" count="8150" uniqueCount="184">
  <si>
    <t>ปวช.</t>
  </si>
  <si>
    <t>ปวส.</t>
  </si>
  <si>
    <t>ระยะสั้น</t>
  </si>
  <si>
    <t>หนังสือ</t>
  </si>
  <si>
    <t>เครื่องแบบ</t>
  </si>
  <si>
    <t>อุปกรณ์</t>
  </si>
  <si>
    <t>กิจกรรม</t>
  </si>
  <si>
    <t>เครื่องมือ</t>
  </si>
  <si>
    <t>เงินรายได้</t>
  </si>
  <si>
    <t>เงินรับฝาก</t>
  </si>
  <si>
    <t>รวม</t>
  </si>
  <si>
    <t>อุดหนุน</t>
  </si>
  <si>
    <t>โครงการ</t>
  </si>
  <si>
    <t>เงินงบประมาณ</t>
  </si>
  <si>
    <t>เงินอุดหนุน</t>
  </si>
  <si>
    <t>เงิน บกศ.</t>
  </si>
  <si>
    <t>งบรายจ่ายอื่น</t>
  </si>
  <si>
    <t>รับมา</t>
  </si>
  <si>
    <t>จัดสรรไป</t>
  </si>
  <si>
    <t>คงเหลือ</t>
  </si>
  <si>
    <t>ประมาณการรายจ่าย ปีงบประมาณ</t>
  </si>
  <si>
    <t>ชื่อสถานศึกษา</t>
  </si>
  <si>
    <t>ปีงบประมาณ</t>
  </si>
  <si>
    <t>1. งบบุคลากร</t>
  </si>
  <si>
    <t>เงินเดือนพนักงานราชการ</t>
  </si>
  <si>
    <t>2. งบดำเนินงาน (ค่าตอบแทน)</t>
  </si>
  <si>
    <t>ค่าตอบแทนพิเศษพนักงานราชการ</t>
  </si>
  <si>
    <t>ค่าสอนเกินภาระงาน</t>
  </si>
  <si>
    <t>ค่าธุรการนอกเวลา</t>
  </si>
  <si>
    <t>ค่าสอนภาคฤดูร้อน</t>
  </si>
  <si>
    <t>ค่าสอนเทียบโอน</t>
  </si>
  <si>
    <t>ค่าจ้างครูรายเดือน</t>
  </si>
  <si>
    <t>ค่าจ้างเจ้าหน้าที่รายเดือน</t>
  </si>
  <si>
    <t>ค่าครองชีพครูรายเดือน</t>
  </si>
  <si>
    <t>ค่าครองชีพเจ้าหน้าที่รายเดือน</t>
  </si>
  <si>
    <t>3. งบดำเนินงาน (ค่าใช้สอย)</t>
  </si>
  <si>
    <t>ค่าจ้างซ่อมครุภัณฑ์การศึกษาและสำนักงาน</t>
  </si>
  <si>
    <t>ค่าซ่อมยานพาหนะ</t>
  </si>
  <si>
    <t>ค่าจ้างติดตั้ง ซ่อมแซมระบบสาธารณูปโภค</t>
  </si>
  <si>
    <t>ค่าจ้างซ่อมอาคารสถานที่/พัฒนาสิ่งแวดล้อม</t>
  </si>
  <si>
    <t>ค่าเบี้ยเลี้ยง พาหนะเดิอนทาง และที่พัก</t>
  </si>
  <si>
    <t>ค่าสมทบประกันสังคม(พนักงานราชการ)</t>
  </si>
  <si>
    <t>ค่าสมทบประกันสังคม(ครูรายเดือน)</t>
  </si>
  <si>
    <t>ค่าสมทบประกันสังคม(เจ้าหน้าที่รายเดือน)</t>
  </si>
  <si>
    <t>ค่าใช้สอยอื่นๆ(ไม่เกิน50,000/ครั้ง/รายการ)</t>
  </si>
  <si>
    <t>4. งบดำเนินงาน (ค่าวัสดุ)</t>
  </si>
  <si>
    <t>แผนกวิชาช่างก่อสร้าง</t>
  </si>
  <si>
    <t>แผนกวิชาช่างยนต์</t>
  </si>
  <si>
    <t>แผนกวิชาช่างไฟฟ้ากำลัง</t>
  </si>
  <si>
    <t>แผนกวิชาช่างอิเล็กทรอนิกส์</t>
  </si>
  <si>
    <t>แผนกวิชาการบัญชี</t>
  </si>
  <si>
    <t>แผนกวิชาคอมพิวเตอร์ธุรกิจ</t>
  </si>
  <si>
    <t>แผนกวิชาเทคนิคพื้นฐาน</t>
  </si>
  <si>
    <t>แผนกวิชาสามัญสัมพันธ์</t>
  </si>
  <si>
    <t>ฝ่ายวิชาการ</t>
  </si>
  <si>
    <t>ฝ่ายพัฒนากิจการนักเรียนนักศึกษา</t>
  </si>
  <si>
    <t>ฝ่ายแผนงานและความร่วมมือ</t>
  </si>
  <si>
    <t>ฝ่ายบริหารทรัพยากร</t>
  </si>
  <si>
    <t>5. งบดำเนินงาน (ค่าสาธารณูปโภค)</t>
  </si>
  <si>
    <t>ค่าไฟฟ้า</t>
  </si>
  <si>
    <t>ค่าประปา</t>
  </si>
  <si>
    <t>ค่าโทรศัพท์</t>
  </si>
  <si>
    <t>ค่าไปรษณีย์</t>
  </si>
  <si>
    <t>ค่าอินเตอร์เนต</t>
  </si>
  <si>
    <t>โครงการด้านการประกันคุณภาพภายใน</t>
  </si>
  <si>
    <t>โครงการ อวท.</t>
  </si>
  <si>
    <t>7. งบลงทุน (ที่ดิน สิ่งก่อสร้าง และครุภัณฑ์)</t>
  </si>
  <si>
    <t>ค่าหนังสือเรียน</t>
  </si>
  <si>
    <t>ค่าเครื่องแบบนักเรียน</t>
  </si>
  <si>
    <t>ค่าอุปกรณ์การเรียน</t>
  </si>
  <si>
    <t>ค่ากิจกรรมพัฒนาคุณภาพผู้เรียน</t>
  </si>
  <si>
    <t>ค่าเครื่องมือประจำตัวผู้เรียน</t>
  </si>
  <si>
    <t>โครงการโรงเรียนตามรอยพระยุคลบาทฯ</t>
  </si>
  <si>
    <t>โครงการโรงเรียนคุณธรรม</t>
  </si>
  <si>
    <t>โครงการการสร้างผู้ประกอบการใหม่</t>
  </si>
  <si>
    <t>โครงการอาชีวะอาสาร่วมด้วยช่วยประชาชน</t>
  </si>
  <si>
    <t>โครงการศูนย์ซ่อมสร้างเพื่อชุมชน (Fix it)</t>
  </si>
  <si>
    <t>โครงการทุนเฉลิมราชกุมารี</t>
  </si>
  <si>
    <t>โครงการสิ่งประดิษฐ์ของคนรุ่นใหม่</t>
  </si>
  <si>
    <t>โครงการลดจำนวนการออกกลางคัน</t>
  </si>
  <si>
    <t>โครงการโรงเรียนเศรษฐกิจพอเพียง</t>
  </si>
  <si>
    <t>โครงการป้องกันปัญหายาเสพติด</t>
  </si>
  <si>
    <t>6. งบดำเนินงาน (แผนงาน/โครงการ/กิจกรรม)</t>
  </si>
  <si>
    <t>โครงการด้านการพัฒนาผู้เรียน</t>
  </si>
  <si>
    <t>โครงการด้านการพัฒนาครูและบุคลากร</t>
  </si>
  <si>
    <t>โครงการด้านการพัฒนาคุณภาพสถานศึกษา</t>
  </si>
  <si>
    <t>8. งบอุดหนุน</t>
  </si>
  <si>
    <t>9. งบรายจ่ายอื่น (โครงการตามนโยบายต่างๆ)</t>
  </si>
  <si>
    <t>ลำดับ</t>
  </si>
  <si>
    <t>วันที่ เดือน พ.ศ.</t>
  </si>
  <si>
    <t>เอกสารการจัดสรร</t>
  </si>
  <si>
    <t>รหัสเอกสาร</t>
  </si>
  <si>
    <t>รวมรายรับ</t>
  </si>
  <si>
    <t>รายการรายรับ ปีงบประมาณ</t>
  </si>
  <si>
    <t>2566001</t>
  </si>
  <si>
    <t>3 ตุลาคม 2565</t>
  </si>
  <si>
    <t>งบประมาณ ปวช.</t>
  </si>
  <si>
    <t>ใช้ไปแล้ว</t>
  </si>
  <si>
    <t>ร้อยละ</t>
  </si>
  <si>
    <t>เหลือ</t>
  </si>
  <si>
    <t>รายการจัดสรรรายจ่ายปี งปม.</t>
  </si>
  <si>
    <t>ได้รับมา</t>
  </si>
  <si>
    <t>รหัสรายการจ่าย</t>
  </si>
  <si>
    <t>รายการจ่าย</t>
  </si>
  <si>
    <t>รหัส</t>
  </si>
  <si>
    <t>วันที่</t>
  </si>
  <si>
    <t>ชื่อผู้ขอใช้</t>
  </si>
  <si>
    <t>แผนก/งาน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</si>
  <si>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</si>
  <si>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</si>
  <si>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</si>
  <si>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</si>
  <si>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</si>
  <si>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</si>
  <si>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</si>
  <si>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</si>
  <si>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</si>
  <si>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</si>
  <si>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</si>
  <si>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</si>
  <si>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</si>
  <si>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</si>
  <si>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</si>
  <si>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</si>
  <si>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</si>
  <si>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</si>
  <si>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</si>
  <si>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</si>
  <si>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</si>
  <si>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</si>
  <si>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</si>
  <si>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</si>
  <si>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</si>
  <si>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</si>
  <si>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</si>
  <si>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</si>
  <si>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</si>
  <si>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031</t>
  </si>
  <si>
    <t>032</t>
  </si>
  <si>
    <t>033</t>
  </si>
  <si>
    <t>034</t>
  </si>
  <si>
    <t>035</t>
  </si>
  <si>
    <t>กลับไปที่หน้าจัดสรร งปม.</t>
  </si>
  <si>
    <t>สรุปรายการจ่ายจากยอดจัดสสร</t>
  </si>
  <si>
    <t>1 ตุลาคม 2565</t>
  </si>
  <si>
    <t>สำรอง 1</t>
  </si>
  <si>
    <t>สำรอง 2</t>
  </si>
  <si>
    <t>สำรอง 3</t>
  </si>
  <si>
    <t>สำรอง 4</t>
  </si>
  <si>
    <t>สำรอง 5</t>
  </si>
  <si>
    <t>สำรอง 5 (ผู้อำนวยการ)</t>
  </si>
  <si>
    <t>สำรอง 6</t>
  </si>
  <si>
    <t>สำรอง 7</t>
  </si>
  <si>
    <t>สำรอง 8</t>
  </si>
  <si>
    <t>สำรอง 9</t>
  </si>
  <si>
    <t>สำรอง 10</t>
  </si>
  <si>
    <t>งบบุคลากร</t>
  </si>
  <si>
    <t>งบดำเนินงาน (ค่าตอบแทน)</t>
  </si>
  <si>
    <t>งบดำเนินงาน (ค่าใช้สอย)</t>
  </si>
  <si>
    <t>งบดำเนินงาน (ค่าวัสดุ)</t>
  </si>
  <si>
    <t>งบดำเนินงาน (ค่าสาธารณูปโภค)</t>
  </si>
  <si>
    <t>งบดำเนินงาน (โครงการ/กิจกรรม)</t>
  </si>
  <si>
    <t>งบลงทุน (ที่ดิน สิ่งก่อสร้าง ครุภัณฑ์)</t>
  </si>
  <si>
    <t>งบอุดหนุน</t>
  </si>
  <si>
    <t>วิทยาลัยการอาชีพแม่สะเรียง</t>
  </si>
  <si>
    <t>ธันวาคม 2564</t>
  </si>
  <si>
    <t>งบกิจกรรมพัฒนาผู้เรียน</t>
  </si>
  <si>
    <t>งบค่าจัดการเรียนการสอน</t>
  </si>
  <si>
    <t>งบค่าหนังสือเรียน</t>
  </si>
  <si>
    <t>งบค่าอุปกรณ์การเรียน</t>
  </si>
  <si>
    <t>กุมภาพันธ์ 2565</t>
  </si>
  <si>
    <t>โครงการเร่งประสิทธิภาพการสอนฯ</t>
  </si>
  <si>
    <t>โครงการจัดหาบุคลากรสนับสนุนเพื่อคืนครูฯ</t>
  </si>
  <si>
    <t>24 พ.ย. 64</t>
  </si>
  <si>
    <t>งบประมาณ ปวส.</t>
  </si>
  <si>
    <t>งบประมาณ ระยะสั้น</t>
  </si>
  <si>
    <t>งบประมาณ ค่าสาธารณูปโภค</t>
  </si>
  <si>
    <t>20 ต.ค. 64</t>
  </si>
  <si>
    <t>ค่าตอบแทนพนักงานราชการ</t>
  </si>
  <si>
    <t>3 พ.ย. 64</t>
  </si>
  <si>
    <t>ประกันสังคมพนักงานราชการ</t>
  </si>
  <si>
    <t>กิจกรรมอาชีวะอาสา ร่วมด้วยช่วยประชาชน</t>
  </si>
  <si>
    <t>มกราคม 65</t>
  </si>
  <si>
    <t>โครงการอนุรักษ์พันธุกรรมพืชฯ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</si>
</sst>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-* #,##0.00_-;\-* #,##0.00_-;_-* &quot;-&quot;??_-;_-@_-"/>
    <numFmt numFmtId="188" formatCode="_-* #,##0_-;\-* #,##0_-;_-* &quot;-&quot;??_-;_-@_-"/>
    <numFmt numFmtId="189" formatCode="[$-1070000]d/m/yy;@"/>
    <numFmt numFmtId="190" formatCode="[$-107041E]d\ mmmm\ yyyy;@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u/>
      <sz val="10"/>
      <color theme="10"/>
      <name val="Tahoma"/>
      <family val="2"/>
      <scheme val="major"/>
    </font>
    <font>
      <sz val="10"/>
      <color theme="1"/>
      <name val="Tahoma"/>
      <family val="2"/>
      <scheme val="major"/>
    </font>
    <font>
      <sz val="10"/>
      <color rgb="FF0000CC"/>
      <name val="Tahoma"/>
      <family val="2"/>
      <scheme val="major"/>
    </font>
    <font>
      <sz val="10"/>
      <name val="Tahoma"/>
      <family val="2"/>
      <scheme val="major"/>
    </font>
    <font>
      <u/>
      <sz val="10"/>
      <color theme="1"/>
      <name val="Tahoma"/>
      <family val="2"/>
      <scheme val="major"/>
    </font>
    <font>
      <u/>
      <sz val="10"/>
      <color theme="10"/>
      <name val="Tahoma"/>
      <family val="2"/>
      <charset val="222"/>
      <scheme val="minor"/>
    </font>
    <font>
      <sz val="10"/>
      <color rgb="FFFF0000"/>
      <name val="Tahoma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87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0" fontId="4" fillId="0" borderId="0" xfId="0" applyFont="1"/>
    <xf numFmtId="188" fontId="4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88" fontId="4" fillId="0" borderId="1" xfId="1" applyNumberFormat="1" applyFont="1" applyBorder="1"/>
    <xf numFmtId="0" fontId="5" fillId="0" borderId="0" xfId="0" applyFont="1" applyAlignment="1">
      <alignment horizontal="left"/>
    </xf>
    <xf numFmtId="188" fontId="4" fillId="0" borderId="0" xfId="1" applyNumberFormat="1" applyFont="1"/>
    <xf numFmtId="188" fontId="4" fillId="0" borderId="0" xfId="1" applyNumberFormat="1" applyFont="1" applyBorder="1" applyAlignment="1">
      <alignment horizontal="center"/>
    </xf>
    <xf numFmtId="188" fontId="4" fillId="0" borderId="0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88" fontId="4" fillId="0" borderId="1" xfId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49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1" fontId="4" fillId="0" borderId="0" xfId="1" applyNumberFormat="1" applyFont="1" applyAlignment="1">
      <alignment horizontal="left"/>
    </xf>
    <xf numFmtId="188" fontId="4" fillId="0" borderId="1" xfId="1" applyNumberFormat="1" applyFont="1" applyBorder="1" applyAlignment="1"/>
    <xf numFmtId="0" fontId="6" fillId="3" borderId="1" xfId="0" applyFont="1" applyFill="1" applyBorder="1" applyAlignment="1">
      <alignment horizontal="center"/>
    </xf>
    <xf numFmtId="188" fontId="6" fillId="3" borderId="1" xfId="0" applyNumberFormat="1" applyFont="1" applyFill="1" applyBorder="1"/>
    <xf numFmtId="188" fontId="4" fillId="0" borderId="0" xfId="0" applyNumberFormat="1" applyFont="1"/>
    <xf numFmtId="0" fontId="4" fillId="2" borderId="2" xfId="0" applyFont="1" applyFill="1" applyBorder="1"/>
    <xf numFmtId="0" fontId="4" fillId="2" borderId="3" xfId="0" applyFont="1" applyFill="1" applyBorder="1"/>
    <xf numFmtId="188" fontId="4" fillId="2" borderId="1" xfId="1" applyNumberFormat="1" applyFont="1" applyFill="1" applyBorder="1"/>
    <xf numFmtId="0" fontId="4" fillId="2" borderId="1" xfId="0" applyFont="1" applyFill="1" applyBorder="1"/>
    <xf numFmtId="0" fontId="4" fillId="0" borderId="5" xfId="0" applyFont="1" applyBorder="1"/>
    <xf numFmtId="0" fontId="3" fillId="0" borderId="3" xfId="2" applyFont="1" applyBorder="1" applyAlignment="1">
      <alignment horizontal="left"/>
    </xf>
    <xf numFmtId="0" fontId="4" fillId="0" borderId="6" xfId="0" applyFont="1" applyBorder="1"/>
    <xf numFmtId="187" fontId="4" fillId="0" borderId="1" xfId="1" applyFont="1" applyBorder="1"/>
    <xf numFmtId="188" fontId="4" fillId="0" borderId="1" xfId="0" applyNumberFormat="1" applyFont="1" applyBorder="1"/>
    <xf numFmtId="0" fontId="4" fillId="0" borderId="3" xfId="0" applyFont="1" applyBorder="1"/>
    <xf numFmtId="0" fontId="4" fillId="2" borderId="4" xfId="0" applyFont="1" applyFill="1" applyBorder="1"/>
    <xf numFmtId="0" fontId="4" fillId="2" borderId="0" xfId="0" applyFont="1" applyFill="1"/>
    <xf numFmtId="187" fontId="4" fillId="2" borderId="1" xfId="1" applyFont="1" applyFill="1" applyBorder="1"/>
    <xf numFmtId="188" fontId="4" fillId="2" borderId="1" xfId="0" applyNumberFormat="1" applyFont="1" applyFill="1" applyBorder="1"/>
    <xf numFmtId="0" fontId="4" fillId="0" borderId="2" xfId="0" applyFont="1" applyBorder="1"/>
    <xf numFmtId="0" fontId="4" fillId="0" borderId="3" xfId="0" applyFont="1" applyBorder="1" applyAlignment="1">
      <alignment horizontal="left"/>
    </xf>
    <xf numFmtId="0" fontId="4" fillId="0" borderId="7" xfId="0" applyFont="1" applyBorder="1"/>
    <xf numFmtId="0" fontId="4" fillId="2" borderId="2" xfId="0" applyFont="1" applyFill="1" applyBorder="1" applyAlignment="1">
      <alignment horizontal="left"/>
    </xf>
    <xf numFmtId="0" fontId="7" fillId="0" borderId="3" xfId="0" applyFont="1" applyBorder="1"/>
    <xf numFmtId="0" fontId="3" fillId="0" borderId="0" xfId="2" applyFont="1" applyAlignment="1">
      <alignment horizontal="center"/>
    </xf>
    <xf numFmtId="49" fontId="4" fillId="0" borderId="0" xfId="0" applyNumberFormat="1" applyFont="1"/>
    <xf numFmtId="0" fontId="6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49" fontId="4" fillId="0" borderId="0" xfId="0" applyNumberFormat="1" applyFont="1" applyAlignment="1">
      <alignment horizontal="right"/>
    </xf>
    <xf numFmtId="49" fontId="4" fillId="0" borderId="1" xfId="0" applyNumberFormat="1" applyFont="1" applyBorder="1"/>
    <xf numFmtId="49" fontId="3" fillId="0" borderId="1" xfId="2" applyNumberFormat="1" applyFont="1" applyBorder="1"/>
    <xf numFmtId="0" fontId="8" fillId="0" borderId="3" xfId="2" applyFont="1" applyBorder="1" applyAlignment="1">
      <alignment horizontal="left"/>
    </xf>
    <xf numFmtId="188" fontId="6" fillId="4" borderId="1" xfId="1" applyNumberFormat="1" applyFont="1" applyFill="1" applyBorder="1" applyAlignment="1">
      <alignment horizontal="center"/>
    </xf>
    <xf numFmtId="188" fontId="6" fillId="4" borderId="1" xfId="1" applyNumberFormat="1" applyFont="1" applyFill="1" applyBorder="1"/>
    <xf numFmtId="187" fontId="6" fillId="4" borderId="1" xfId="1" applyFont="1" applyFill="1" applyBorder="1"/>
    <xf numFmtId="0" fontId="9" fillId="0" borderId="0" xfId="0" applyFont="1" applyAlignment="1">
      <alignment horizontal="right"/>
    </xf>
    <xf numFmtId="0" fontId="6" fillId="0" borderId="0" xfId="0" applyFont="1"/>
    <xf numFmtId="49" fontId="8" fillId="0" borderId="1" xfId="2" applyNumberFormat="1" applyFont="1" applyBorder="1"/>
    <xf numFmtId="187" fontId="4" fillId="0" borderId="1" xfId="1" applyFont="1" applyBorder="1" applyAlignment="1">
      <alignment horizontal="center"/>
    </xf>
    <xf numFmtId="188" fontId="4" fillId="0" borderId="1" xfId="1" applyNumberFormat="1" applyFont="1" applyBorder="1" applyAlignment="1">
      <alignment horizontal="center"/>
    </xf>
    <xf numFmtId="188" fontId="4" fillId="0" borderId="1" xfId="1" applyNumberFormat="1" applyFont="1" applyBorder="1" applyAlignment="1">
      <alignment horizontal="center" vertical="center"/>
    </xf>
    <xf numFmtId="189" fontId="4" fillId="0" borderId="1" xfId="1" applyNumberFormat="1" applyFont="1" applyBorder="1" applyAlignment="1">
      <alignment horizontal="center"/>
    </xf>
    <xf numFmtId="188" fontId="6" fillId="5" borderId="1" xfId="1" applyNumberFormat="1" applyFont="1" applyFill="1" applyBorder="1" applyAlignment="1">
      <alignment horizontal="center"/>
    </xf>
    <xf numFmtId="190" fontId="4" fillId="6" borderId="2" xfId="1" applyNumberFormat="1" applyFont="1" applyFill="1" applyBorder="1" applyAlignment="1">
      <alignment horizontal="center"/>
    </xf>
    <xf numFmtId="190" fontId="4" fillId="6" borderId="3" xfId="1" applyNumberFormat="1" applyFont="1" applyFill="1" applyBorder="1" applyAlignment="1">
      <alignment horizontal="center"/>
    </xf>
    <xf numFmtId="190" fontId="4" fillId="6" borderId="4" xfId="1" applyNumberFormat="1" applyFont="1" applyFill="1" applyBorder="1" applyAlignment="1">
      <alignment horizontal="center"/>
    </xf>
    <xf numFmtId="188" fontId="4" fillId="0" borderId="2" xfId="1" applyNumberFormat="1" applyFont="1" applyBorder="1" applyAlignment="1">
      <alignment horizontal="center"/>
    </xf>
    <xf numFmtId="188" fontId="4" fillId="0" borderId="3" xfId="1" applyNumberFormat="1" applyFont="1" applyBorder="1" applyAlignment="1">
      <alignment horizontal="center"/>
    </xf>
    <xf numFmtId="188" fontId="4" fillId="0" borderId="4" xfId="1" applyNumberFormat="1" applyFont="1" applyBorder="1" applyAlignment="1">
      <alignment horizontal="center"/>
    </xf>
    <xf numFmtId="188" fontId="4" fillId="0" borderId="0" xfId="1" applyNumberFormat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3" fillId="0" borderId="0" xfId="2" applyFont="1"/>
    <xf numFmtId="0" fontId="9" fillId="0" borderId="0" xfId="0" applyFont="1" applyAlignment="1">
      <alignment horizontal="left"/>
    </xf>
  </cellXfs>
  <cellStyles count="3">
    <cellStyle name="Hyperlink" xfId="2" builtinId="8"/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  <color rgb="FFCCFFCC"/>
      <color rgb="FFFFFFCC"/>
      <color rgb="FFFFCC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2566001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101001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21" sqref="A21"/>
    </sheetView>
  </sheetViews>
  <sheetFormatPr defaultRowHeight="12.75" x14ac:dyDescent="0.2"/>
  <cols>
    <col min="1" max="1" width="15.25" style="1" customWidth="1"/>
    <col min="2" max="2" width="35.75" style="1" customWidth="1"/>
    <col min="3" max="16384" width="9" style="1"/>
  </cols>
  <sheetData>
    <row r="1" spans="1:2" x14ac:dyDescent="0.2">
      <c r="A1" s="1" t="s">
        <v>21</v>
      </c>
      <c r="B1" s="52" t="s">
        <v>164</v>
      </c>
    </row>
    <row r="2" spans="1:2" x14ac:dyDescent="0.2">
      <c r="A2" s="1" t="s">
        <v>22</v>
      </c>
      <c r="B2" s="15">
        <v>2565</v>
      </c>
    </row>
    <row r="3" spans="1:2" x14ac:dyDescent="0.2">
      <c r="B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0"/>
  <sheetViews>
    <sheetView showGridLines="0" zoomScale="93" zoomScaleNormal="93" workbookViewId="0">
      <pane xSplit="16" ySplit="8" topLeftCell="Q102" activePane="bottomRight" state="frozen"/>
      <selection pane="topRight" activeCell="Q1" sqref="Q1"/>
      <selection pane="bottomLeft" activeCell="A9" sqref="A9"/>
      <selection pane="bottomRight" activeCell="D5" sqref="D5"/>
    </sheetView>
  </sheetViews>
  <sheetFormatPr defaultRowHeight="12.75" x14ac:dyDescent="0.2"/>
  <cols>
    <col min="1" max="1" width="4.625" style="1" customWidth="1"/>
    <col min="2" max="2" width="3.625" style="1" customWidth="1"/>
    <col min="3" max="3" width="28.125" style="1" customWidth="1"/>
    <col min="4" max="18" width="10.625" style="7" customWidth="1"/>
    <col min="19" max="16384" width="9" style="1"/>
  </cols>
  <sheetData>
    <row r="1" spans="1:18" x14ac:dyDescent="0.2">
      <c r="D1" s="15" t="s">
        <v>20</v>
      </c>
      <c r="E1" s="1"/>
      <c r="F1" s="16">
        <f>Note!$B$2</f>
        <v>2565</v>
      </c>
      <c r="G1" s="15" t="str">
        <f>Note!$B$1</f>
        <v>วิทยาลัยการอาชีพแม่สะเรียง</v>
      </c>
    </row>
    <row r="2" spans="1:18" ht="14.25" customHeight="1" x14ac:dyDescent="0.2">
      <c r="C2" s="3"/>
      <c r="D2" s="54" t="s">
        <v>13</v>
      </c>
      <c r="E2" s="54"/>
      <c r="F2" s="54"/>
      <c r="G2" s="55" t="s">
        <v>14</v>
      </c>
      <c r="H2" s="55"/>
      <c r="I2" s="55"/>
      <c r="J2" s="55"/>
      <c r="K2" s="55"/>
      <c r="L2" s="55"/>
      <c r="M2" s="17" t="s">
        <v>16</v>
      </c>
      <c r="N2" s="55" t="s">
        <v>15</v>
      </c>
      <c r="O2" s="55"/>
      <c r="P2" s="56" t="s">
        <v>10</v>
      </c>
    </row>
    <row r="3" spans="1:18" x14ac:dyDescent="0.2">
      <c r="D3" s="2" t="s">
        <v>0</v>
      </c>
      <c r="E3" s="2" t="s">
        <v>1</v>
      </c>
      <c r="F3" s="2" t="s">
        <v>2</v>
      </c>
      <c r="G3" s="2" t="s">
        <v>11</v>
      </c>
      <c r="H3" s="2" t="s">
        <v>3</v>
      </c>
      <c r="I3" s="2" t="s">
        <v>4</v>
      </c>
      <c r="J3" s="2" t="s">
        <v>6</v>
      </c>
      <c r="K3" s="2" t="s">
        <v>5</v>
      </c>
      <c r="L3" s="2" t="s">
        <v>7</v>
      </c>
      <c r="M3" s="2" t="s">
        <v>12</v>
      </c>
      <c r="N3" s="2" t="s">
        <v>8</v>
      </c>
      <c r="O3" s="2" t="s">
        <v>9</v>
      </c>
      <c r="P3" s="56"/>
      <c r="Q3" s="8"/>
    </row>
    <row r="4" spans="1:18" x14ac:dyDescent="0.2">
      <c r="C4" s="4" t="s">
        <v>17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>SUM(D4:O4)</f>
        <v>0</v>
      </c>
    </row>
    <row r="5" spans="1:18" x14ac:dyDescent="0.2">
      <c r="C5" s="4" t="s">
        <v>18</v>
      </c>
      <c r="D5" s="5">
        <f>SUM(D9:D120)</f>
        <v>0</v>
      </c>
      <c r="E5" s="5">
        <f t="shared" ref="E5:O5" si="0">SUM(E9:E120)</f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ref="P5" si="1">SUM(D5:O5)</f>
        <v>0</v>
      </c>
    </row>
    <row r="6" spans="1:18" x14ac:dyDescent="0.2">
      <c r="C6" s="4" t="s">
        <v>19</v>
      </c>
      <c r="D6" s="5">
        <f>D4-D5</f>
        <v>0</v>
      </c>
      <c r="E6" s="5">
        <f t="shared" ref="E6:P6" si="2">E4-E5</f>
        <v>0</v>
      </c>
      <c r="F6" s="5">
        <f t="shared" si="2"/>
        <v>0</v>
      </c>
      <c r="G6" s="5">
        <f t="shared" si="2"/>
        <v>0</v>
      </c>
      <c r="H6" s="5">
        <f t="shared" si="2"/>
        <v>0</v>
      </c>
      <c r="I6" s="5">
        <f t="shared" si="2"/>
        <v>0</v>
      </c>
      <c r="J6" s="5">
        <f t="shared" si="2"/>
        <v>0</v>
      </c>
      <c r="K6" s="5">
        <f t="shared" si="2"/>
        <v>0</v>
      </c>
      <c r="L6" s="5">
        <f t="shared" si="2"/>
        <v>0</v>
      </c>
      <c r="M6" s="5">
        <f t="shared" si="2"/>
        <v>0</v>
      </c>
      <c r="N6" s="5">
        <f t="shared" si="2"/>
        <v>0</v>
      </c>
      <c r="O6" s="5">
        <f t="shared" si="2"/>
        <v>0</v>
      </c>
      <c r="P6" s="5">
        <f t="shared" si="2"/>
        <v>0</v>
      </c>
    </row>
    <row r="8" spans="1:18" x14ac:dyDescent="0.2">
      <c r="D8" s="2" t="s">
        <v>0</v>
      </c>
      <c r="E8" s="2" t="s">
        <v>1</v>
      </c>
      <c r="F8" s="2" t="s">
        <v>2</v>
      </c>
      <c r="G8" s="2" t="s">
        <v>11</v>
      </c>
      <c r="H8" s="2" t="s">
        <v>3</v>
      </c>
      <c r="I8" s="2" t="s">
        <v>4</v>
      </c>
      <c r="J8" s="2" t="s">
        <v>6</v>
      </c>
      <c r="K8" s="2" t="s">
        <v>5</v>
      </c>
      <c r="L8" s="2" t="s">
        <v>7</v>
      </c>
      <c r="M8" s="2" t="s">
        <v>12</v>
      </c>
      <c r="N8" s="2" t="s">
        <v>8</v>
      </c>
      <c r="O8" s="2" t="s">
        <v>9</v>
      </c>
      <c r="P8" s="2" t="s">
        <v>10</v>
      </c>
      <c r="Q8" s="8"/>
      <c r="R8" s="8"/>
    </row>
    <row r="9" spans="1:18" x14ac:dyDescent="0.2">
      <c r="A9" s="21" t="s">
        <v>23</v>
      </c>
      <c r="B9" s="22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8" x14ac:dyDescent="0.2">
      <c r="A10" s="25">
        <f>Note!$B$2</f>
        <v>2565</v>
      </c>
      <c r="B10" s="36">
        <v>101</v>
      </c>
      <c r="C10" s="27" t="s">
        <v>24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8" x14ac:dyDescent="0.2">
      <c r="A11" s="25">
        <f>Note!$B$2</f>
        <v>2565</v>
      </c>
      <c r="B11" s="36">
        <v>102</v>
      </c>
      <c r="C11" s="3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8" x14ac:dyDescent="0.2">
      <c r="A12" s="25">
        <f>Note!$B$2</f>
        <v>2565</v>
      </c>
      <c r="B12" s="36">
        <v>103</v>
      </c>
      <c r="C12" s="3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8" x14ac:dyDescent="0.2">
      <c r="A13" s="25">
        <f>Note!$B$2</f>
        <v>2565</v>
      </c>
      <c r="B13" s="36">
        <v>104</v>
      </c>
      <c r="C13" s="30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8" x14ac:dyDescent="0.2">
      <c r="A14" s="25">
        <f>Note!$B$2</f>
        <v>2565</v>
      </c>
      <c r="B14" s="36">
        <v>105</v>
      </c>
      <c r="C14" s="30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8" x14ac:dyDescent="0.2">
      <c r="A15" s="21" t="s">
        <v>25</v>
      </c>
      <c r="B15" s="31"/>
      <c r="C15" s="3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8" x14ac:dyDescent="0.2">
      <c r="A16" s="35">
        <f>Note!$B$2</f>
        <v>2565</v>
      </c>
      <c r="B16" s="36">
        <v>201</v>
      </c>
      <c r="C16" s="30" t="s">
        <v>26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s="1" customFormat="1" x14ac:dyDescent="0.2">
      <c r="A17" s="35">
        <f>Note!$B$2</f>
        <v>2565</v>
      </c>
      <c r="B17" s="36">
        <v>202</v>
      </c>
      <c r="C17" s="30" t="s">
        <v>27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s="1" customFormat="1" x14ac:dyDescent="0.2">
      <c r="A18" s="35">
        <f>Note!$B$2</f>
        <v>2565</v>
      </c>
      <c r="B18" s="36">
        <v>203</v>
      </c>
      <c r="C18" s="30" t="s">
        <v>28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s="1" customFormat="1" x14ac:dyDescent="0.2">
      <c r="A19" s="35">
        <f>Note!$B$2</f>
        <v>2565</v>
      </c>
      <c r="B19" s="36">
        <v>204</v>
      </c>
      <c r="C19" s="30" t="s">
        <v>29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s="1" customFormat="1" x14ac:dyDescent="0.2">
      <c r="A20" s="35">
        <f>Note!$B$2</f>
        <v>2565</v>
      </c>
      <c r="B20" s="36">
        <v>205</v>
      </c>
      <c r="C20" s="30" t="s">
        <v>30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s="1" customFormat="1" x14ac:dyDescent="0.2">
      <c r="A21" s="35">
        <f>Note!$B$2</f>
        <v>2565</v>
      </c>
      <c r="B21" s="36">
        <v>206</v>
      </c>
      <c r="C21" s="30" t="s">
        <v>31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s="1" customFormat="1" x14ac:dyDescent="0.2">
      <c r="A22" s="35">
        <f>Note!$B$2</f>
        <v>2565</v>
      </c>
      <c r="B22" s="36">
        <v>207</v>
      </c>
      <c r="C22" s="30" t="s">
        <v>32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s="1" customFormat="1" x14ac:dyDescent="0.2">
      <c r="A23" s="35">
        <f>Note!$B$2</f>
        <v>2565</v>
      </c>
      <c r="B23" s="36">
        <v>208</v>
      </c>
      <c r="C23" s="30" t="s">
        <v>33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s="1" customFormat="1" x14ac:dyDescent="0.2">
      <c r="A24" s="35">
        <f>Note!$B$2</f>
        <v>2565</v>
      </c>
      <c r="B24" s="36">
        <v>209</v>
      </c>
      <c r="C24" s="30" t="s">
        <v>34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s="1" customFormat="1" x14ac:dyDescent="0.2">
      <c r="A25" s="35">
        <f>Note!$B$2</f>
        <v>2565</v>
      </c>
      <c r="B25" s="36">
        <v>210</v>
      </c>
      <c r="C25" s="30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s="1" customFormat="1" x14ac:dyDescent="0.2">
      <c r="A26" s="35">
        <f>Note!$B$2</f>
        <v>2565</v>
      </c>
      <c r="B26" s="36">
        <v>211</v>
      </c>
      <c r="C26" s="30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s="1" customFormat="1" x14ac:dyDescent="0.2">
      <c r="A27" s="35">
        <f>Note!$B$2</f>
        <v>2565</v>
      </c>
      <c r="B27" s="36">
        <v>212</v>
      </c>
      <c r="C27" s="30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s="1" customFormat="1" x14ac:dyDescent="0.2">
      <c r="A28" s="35">
        <f>Note!$B$2</f>
        <v>2565</v>
      </c>
      <c r="B28" s="36">
        <v>213</v>
      </c>
      <c r="C28" s="30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s="1" customFormat="1" x14ac:dyDescent="0.2">
      <c r="A29" s="35">
        <f>Note!$B$2</f>
        <v>2565</v>
      </c>
      <c r="B29" s="36">
        <v>214</v>
      </c>
      <c r="C29" s="30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s="1" customFormat="1" x14ac:dyDescent="0.2">
      <c r="A30" s="21" t="s">
        <v>35</v>
      </c>
      <c r="B30" s="3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s="1" customFormat="1" x14ac:dyDescent="0.2">
      <c r="A31" s="35">
        <f>Note!$B$2</f>
        <v>2565</v>
      </c>
      <c r="B31" s="36">
        <v>301</v>
      </c>
      <c r="C31" s="30" t="s">
        <v>36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s="1" customFormat="1" x14ac:dyDescent="0.2">
      <c r="A32" s="35">
        <f>Note!$B$2</f>
        <v>2565</v>
      </c>
      <c r="B32" s="36">
        <v>302</v>
      </c>
      <c r="C32" s="30" t="s">
        <v>37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s="1" customFormat="1" x14ac:dyDescent="0.2">
      <c r="A33" s="35">
        <f>Note!$B$2</f>
        <v>2565</v>
      </c>
      <c r="B33" s="36">
        <v>303</v>
      </c>
      <c r="C33" s="30" t="s">
        <v>38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s="1" customFormat="1" x14ac:dyDescent="0.2">
      <c r="A34" s="35">
        <f>Note!$B$2</f>
        <v>2565</v>
      </c>
      <c r="B34" s="36">
        <v>304</v>
      </c>
      <c r="C34" s="30" t="s">
        <v>39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s="1" customFormat="1" x14ac:dyDescent="0.2">
      <c r="A35" s="35">
        <f>Note!$B$2</f>
        <v>2565</v>
      </c>
      <c r="B35" s="36">
        <v>305</v>
      </c>
      <c r="C35" s="30" t="s">
        <v>40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s="1" customFormat="1" x14ac:dyDescent="0.2">
      <c r="A36" s="35">
        <f>Note!$B$2</f>
        <v>2565</v>
      </c>
      <c r="B36" s="36">
        <v>306</v>
      </c>
      <c r="C36" s="30" t="s">
        <v>41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s="1" customFormat="1" x14ac:dyDescent="0.2">
      <c r="A37" s="35">
        <f>Note!$B$2</f>
        <v>2565</v>
      </c>
      <c r="B37" s="36">
        <v>307</v>
      </c>
      <c r="C37" s="30" t="s">
        <v>42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s="1" customFormat="1" x14ac:dyDescent="0.2">
      <c r="A38" s="35">
        <f>Note!$B$2</f>
        <v>2565</v>
      </c>
      <c r="B38" s="36">
        <v>308</v>
      </c>
      <c r="C38" s="30" t="s">
        <v>43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s="1" customFormat="1" x14ac:dyDescent="0.2">
      <c r="A39" s="35">
        <f>Note!$B$2</f>
        <v>2565</v>
      </c>
      <c r="B39" s="36">
        <v>309</v>
      </c>
      <c r="C39" s="30" t="s">
        <v>44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s="1" customFormat="1" x14ac:dyDescent="0.2">
      <c r="A40" s="35">
        <f>Note!$B$2</f>
        <v>2565</v>
      </c>
      <c r="B40" s="36">
        <v>310</v>
      </c>
      <c r="C40" s="30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s="1" customFormat="1" x14ac:dyDescent="0.2">
      <c r="A41" s="35">
        <f>Note!$B$2</f>
        <v>2565</v>
      </c>
      <c r="B41" s="36">
        <v>311</v>
      </c>
      <c r="C41" s="30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s="1" customFormat="1" x14ac:dyDescent="0.2">
      <c r="A42" s="35">
        <f>Note!$B$2</f>
        <v>2565</v>
      </c>
      <c r="B42" s="36">
        <v>312</v>
      </c>
      <c r="C42" s="3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s="1" customFormat="1" x14ac:dyDescent="0.2">
      <c r="A43" s="35">
        <f>Note!$B$2</f>
        <v>2565</v>
      </c>
      <c r="B43" s="36">
        <v>313</v>
      </c>
      <c r="C43" s="30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s="1" customFormat="1" x14ac:dyDescent="0.2">
      <c r="A44" s="35">
        <f>Note!$B$2</f>
        <v>2565</v>
      </c>
      <c r="B44" s="36">
        <v>314</v>
      </c>
      <c r="C44" s="30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s="1" customFormat="1" x14ac:dyDescent="0.2">
      <c r="A45" s="21" t="s">
        <v>45</v>
      </c>
      <c r="B45" s="31"/>
      <c r="C45" s="3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s="1" customFormat="1" x14ac:dyDescent="0.2">
      <c r="A46" s="35">
        <f>Note!$B$2</f>
        <v>2565</v>
      </c>
      <c r="B46" s="36">
        <v>401</v>
      </c>
      <c r="C46" s="30" t="s">
        <v>46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s="1" customFormat="1" x14ac:dyDescent="0.2">
      <c r="A47" s="35">
        <f>Note!$B$2</f>
        <v>2565</v>
      </c>
      <c r="B47" s="36">
        <v>402</v>
      </c>
      <c r="C47" s="30" t="s">
        <v>47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s="1" customFormat="1" x14ac:dyDescent="0.2">
      <c r="A48" s="35">
        <f>Note!$B$2</f>
        <v>2565</v>
      </c>
      <c r="B48" s="36">
        <v>403</v>
      </c>
      <c r="C48" s="30" t="s">
        <v>48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s="1" customFormat="1" x14ac:dyDescent="0.2">
      <c r="A49" s="35">
        <f>Note!$B$2</f>
        <v>2565</v>
      </c>
      <c r="B49" s="36">
        <v>404</v>
      </c>
      <c r="C49" s="30" t="s">
        <v>49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s="1" customFormat="1" x14ac:dyDescent="0.2">
      <c r="A50" s="35">
        <f>Note!$B$2</f>
        <v>2565</v>
      </c>
      <c r="B50" s="36">
        <v>405</v>
      </c>
      <c r="C50" s="30" t="s">
        <v>50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s="1" customFormat="1" x14ac:dyDescent="0.2">
      <c r="A51" s="35">
        <f>Note!$B$2</f>
        <v>2565</v>
      </c>
      <c r="B51" s="36">
        <v>406</v>
      </c>
      <c r="C51" s="30" t="s">
        <v>51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s="1" customFormat="1" x14ac:dyDescent="0.2">
      <c r="A52" s="35">
        <f>Note!$B$2</f>
        <v>2565</v>
      </c>
      <c r="B52" s="36">
        <v>407</v>
      </c>
      <c r="C52" s="30" t="s">
        <v>52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s="1" customFormat="1" x14ac:dyDescent="0.2">
      <c r="A53" s="35">
        <f>Note!$B$2</f>
        <v>2565</v>
      </c>
      <c r="B53" s="36">
        <v>408</v>
      </c>
      <c r="C53" s="30" t="s">
        <v>53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s="1" customFormat="1" x14ac:dyDescent="0.2">
      <c r="A54" s="35">
        <f>Note!$B$2</f>
        <v>2565</v>
      </c>
      <c r="B54" s="36">
        <v>409</v>
      </c>
      <c r="C54" s="30" t="s">
        <v>54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s="1" customFormat="1" x14ac:dyDescent="0.2">
      <c r="A55" s="35">
        <f>Note!$B$2</f>
        <v>2565</v>
      </c>
      <c r="B55" s="36">
        <v>410</v>
      </c>
      <c r="C55" s="30" t="s">
        <v>55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s="1" customFormat="1" x14ac:dyDescent="0.2">
      <c r="A56" s="35">
        <f>Note!$B$2</f>
        <v>2565</v>
      </c>
      <c r="B56" s="36">
        <v>411</v>
      </c>
      <c r="C56" s="30" t="s">
        <v>56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s="1" customFormat="1" x14ac:dyDescent="0.2">
      <c r="A57" s="35">
        <f>Note!$B$2</f>
        <v>2565</v>
      </c>
      <c r="B57" s="36">
        <v>412</v>
      </c>
      <c r="C57" s="30" t="s">
        <v>57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s="1" customFormat="1" x14ac:dyDescent="0.2">
      <c r="A58" s="35">
        <f>Note!$B$2</f>
        <v>2565</v>
      </c>
      <c r="B58" s="36">
        <v>413</v>
      </c>
      <c r="C58" s="3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s="1" customFormat="1" x14ac:dyDescent="0.2">
      <c r="A59" s="35">
        <f>Note!$B$2</f>
        <v>2565</v>
      </c>
      <c r="B59" s="36">
        <v>414</v>
      </c>
      <c r="C59" s="3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s="1" customFormat="1" x14ac:dyDescent="0.2">
      <c r="A60" s="35">
        <f>Note!$B$2</f>
        <v>2565</v>
      </c>
      <c r="B60" s="36">
        <v>415</v>
      </c>
      <c r="C60" s="3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s="1" customFormat="1" x14ac:dyDescent="0.2">
      <c r="A61" s="35">
        <f>Note!$B$2</f>
        <v>2565</v>
      </c>
      <c r="B61" s="36">
        <v>416</v>
      </c>
      <c r="C61" s="3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s="1" customFormat="1" x14ac:dyDescent="0.2">
      <c r="A62" s="35">
        <f>Note!$B$2</f>
        <v>2565</v>
      </c>
      <c r="B62" s="36">
        <v>417</v>
      </c>
      <c r="C62" s="30" t="s">
        <v>150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s="1" customFormat="1" x14ac:dyDescent="0.2">
      <c r="A63" s="21" t="s">
        <v>58</v>
      </c>
      <c r="B63" s="31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 spans="1:16" s="1" customFormat="1" x14ac:dyDescent="0.2">
      <c r="A64" s="35">
        <f>Note!$B$2</f>
        <v>2565</v>
      </c>
      <c r="B64" s="36">
        <v>501</v>
      </c>
      <c r="C64" s="30" t="s">
        <v>59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s="1" customFormat="1" x14ac:dyDescent="0.2">
      <c r="A65" s="35">
        <f>Note!$B$2</f>
        <v>2565</v>
      </c>
      <c r="B65" s="36">
        <v>502</v>
      </c>
      <c r="C65" s="30" t="s">
        <v>60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s="1" customFormat="1" x14ac:dyDescent="0.2">
      <c r="A66" s="35">
        <f>Note!$B$2</f>
        <v>2565</v>
      </c>
      <c r="B66" s="36">
        <v>503</v>
      </c>
      <c r="C66" s="30" t="s">
        <v>61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s="1" customFormat="1" x14ac:dyDescent="0.2">
      <c r="A67" s="35">
        <f>Note!$B$2</f>
        <v>2565</v>
      </c>
      <c r="B67" s="36">
        <v>504</v>
      </c>
      <c r="C67" s="30" t="s">
        <v>62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s="1" customFormat="1" x14ac:dyDescent="0.2">
      <c r="A68" s="35">
        <f>Note!$B$2</f>
        <v>2565</v>
      </c>
      <c r="B68" s="36">
        <v>505</v>
      </c>
      <c r="C68" s="30" t="s">
        <v>63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s="1" customFormat="1" x14ac:dyDescent="0.2">
      <c r="A69" s="35">
        <f>Note!$B$2</f>
        <v>2565</v>
      </c>
      <c r="B69" s="36">
        <v>506</v>
      </c>
      <c r="C69" s="3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s="1" customFormat="1" x14ac:dyDescent="0.2">
      <c r="A70" s="35">
        <f>Note!$B$2</f>
        <v>2565</v>
      </c>
      <c r="B70" s="36">
        <v>507</v>
      </c>
      <c r="C70" s="3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s="1" customFormat="1" x14ac:dyDescent="0.2">
      <c r="A71" s="35">
        <f>Note!$B$2</f>
        <v>2565</v>
      </c>
      <c r="B71" s="36">
        <v>508</v>
      </c>
      <c r="C71" s="3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s="1" customFormat="1" x14ac:dyDescent="0.2">
      <c r="A72" s="21" t="s">
        <v>82</v>
      </c>
      <c r="B72" s="31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</row>
    <row r="73" spans="1:16" s="1" customFormat="1" x14ac:dyDescent="0.2">
      <c r="A73" s="35">
        <f>Note!$B$2</f>
        <v>2565</v>
      </c>
      <c r="B73" s="36">
        <v>601</v>
      </c>
      <c r="C73" s="30" t="s">
        <v>83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s="1" customFormat="1" x14ac:dyDescent="0.2">
      <c r="A74" s="35">
        <f>Note!$B$2</f>
        <v>2565</v>
      </c>
      <c r="B74" s="36">
        <v>602</v>
      </c>
      <c r="C74" s="30" t="s">
        <v>84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s="1" customFormat="1" x14ac:dyDescent="0.2">
      <c r="A75" s="35">
        <f>Note!$B$2</f>
        <v>2565</v>
      </c>
      <c r="B75" s="36">
        <v>603</v>
      </c>
      <c r="C75" s="30" t="s">
        <v>85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s="1" customFormat="1" x14ac:dyDescent="0.2">
      <c r="A76" s="35">
        <f>Note!$B$2</f>
        <v>2565</v>
      </c>
      <c r="B76" s="36">
        <v>604</v>
      </c>
      <c r="C76" s="30" t="s">
        <v>64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s="1" customFormat="1" x14ac:dyDescent="0.2">
      <c r="A77" s="35">
        <f>Note!$B$2</f>
        <v>2565</v>
      </c>
      <c r="B77" s="36">
        <v>605</v>
      </c>
      <c r="C77" s="30" t="s">
        <v>65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s="1" customFormat="1" x14ac:dyDescent="0.2">
      <c r="A78" s="35">
        <f>Note!$B$2</f>
        <v>2565</v>
      </c>
      <c r="B78" s="36">
        <v>606</v>
      </c>
      <c r="C78" s="3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s="1" customFormat="1" x14ac:dyDescent="0.2">
      <c r="A79" s="35">
        <f>Note!$B$2</f>
        <v>2565</v>
      </c>
      <c r="B79" s="36">
        <v>607</v>
      </c>
      <c r="C79" s="3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s="1" customFormat="1" x14ac:dyDescent="0.2">
      <c r="A80" s="35">
        <f>Note!$B$2</f>
        <v>2565</v>
      </c>
      <c r="B80" s="36">
        <v>608</v>
      </c>
      <c r="C80" s="3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s="1" customFormat="1" x14ac:dyDescent="0.2">
      <c r="A81" s="35">
        <f>Note!$B$2</f>
        <v>2565</v>
      </c>
      <c r="B81" s="36">
        <v>609</v>
      </c>
      <c r="C81" s="3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s="1" customFormat="1" x14ac:dyDescent="0.2">
      <c r="A82" s="35">
        <f>Note!$B$2</f>
        <v>2565</v>
      </c>
      <c r="B82" s="36">
        <v>610</v>
      </c>
      <c r="C82" s="3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s="1" customFormat="1" x14ac:dyDescent="0.2">
      <c r="A83" s="21" t="s">
        <v>66</v>
      </c>
      <c r="B83" s="31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</row>
    <row r="84" spans="1:16" s="1" customFormat="1" x14ac:dyDescent="0.2">
      <c r="A84" s="35">
        <f>Note!$B$2</f>
        <v>2565</v>
      </c>
      <c r="B84" s="36">
        <v>701</v>
      </c>
      <c r="C84" s="3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s="1" customFormat="1" x14ac:dyDescent="0.2">
      <c r="A85" s="35">
        <f>Note!$B$2</f>
        <v>2565</v>
      </c>
      <c r="B85" s="36">
        <v>702</v>
      </c>
      <c r="C85" s="3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s="1" customFormat="1" x14ac:dyDescent="0.2">
      <c r="A86" s="35">
        <f>Note!$B$2</f>
        <v>2565</v>
      </c>
      <c r="B86" s="36">
        <v>703</v>
      </c>
      <c r="C86" s="3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s="1" customFormat="1" x14ac:dyDescent="0.2">
      <c r="A87" s="35">
        <f>Note!$B$2</f>
        <v>2565</v>
      </c>
      <c r="B87" s="36">
        <v>704</v>
      </c>
      <c r="C87" s="3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s="1" customFormat="1" x14ac:dyDescent="0.2">
      <c r="A88" s="35">
        <f>Note!$B$2</f>
        <v>2565</v>
      </c>
      <c r="B88" s="36">
        <v>705</v>
      </c>
      <c r="C88" s="3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s="1" customFormat="1" x14ac:dyDescent="0.2">
      <c r="A89" s="38" t="s">
        <v>86</v>
      </c>
      <c r="B89" s="22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</row>
    <row r="90" spans="1:16" s="1" customFormat="1" x14ac:dyDescent="0.2">
      <c r="A90" s="25">
        <f>Note!$B$2</f>
        <v>2565</v>
      </c>
      <c r="B90" s="36">
        <v>801</v>
      </c>
      <c r="C90" s="27" t="s">
        <v>67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s="1" customFormat="1" x14ac:dyDescent="0.2">
      <c r="A91" s="25">
        <f>Note!$B$2</f>
        <v>2565</v>
      </c>
      <c r="B91" s="36">
        <v>802</v>
      </c>
      <c r="C91" s="30" t="s">
        <v>68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s="1" customFormat="1" x14ac:dyDescent="0.2">
      <c r="A92" s="25">
        <f>Note!$B$2</f>
        <v>2565</v>
      </c>
      <c r="B92" s="36">
        <v>803</v>
      </c>
      <c r="C92" s="30" t="s">
        <v>69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s="1" customFormat="1" x14ac:dyDescent="0.2">
      <c r="A93" s="25">
        <f>Note!$B$2</f>
        <v>2565</v>
      </c>
      <c r="B93" s="36">
        <v>804</v>
      </c>
      <c r="C93" s="30" t="s">
        <v>70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s="1" customFormat="1" x14ac:dyDescent="0.2">
      <c r="A94" s="25">
        <f>Note!$B$2</f>
        <v>2565</v>
      </c>
      <c r="B94" s="36">
        <v>805</v>
      </c>
      <c r="C94" s="30" t="s">
        <v>71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s="1" customFormat="1" x14ac:dyDescent="0.2">
      <c r="A95" s="25">
        <f>Note!$B$2</f>
        <v>2565</v>
      </c>
      <c r="B95" s="36">
        <v>806</v>
      </c>
      <c r="C95" s="3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s="1" customFormat="1" x14ac:dyDescent="0.2">
      <c r="A96" s="25">
        <f>Note!$B$2</f>
        <v>2565</v>
      </c>
      <c r="B96" s="36">
        <v>807</v>
      </c>
      <c r="C96" s="3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s="1" customFormat="1" x14ac:dyDescent="0.2">
      <c r="A97" s="25">
        <f>Note!$B$2</f>
        <v>2565</v>
      </c>
      <c r="B97" s="36">
        <v>808</v>
      </c>
      <c r="C97" s="3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s="1" customFormat="1" x14ac:dyDescent="0.2">
      <c r="A98" s="25">
        <f>Note!$B$2</f>
        <v>2565</v>
      </c>
      <c r="B98" s="36">
        <v>809</v>
      </c>
      <c r="C98" s="3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s="1" customFormat="1" x14ac:dyDescent="0.2">
      <c r="A99" s="25">
        <f>Note!$B$2</f>
        <v>2565</v>
      </c>
      <c r="B99" s="36">
        <v>810</v>
      </c>
      <c r="C99" s="3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s="1" customFormat="1" x14ac:dyDescent="0.2">
      <c r="A100" s="38" t="s">
        <v>87</v>
      </c>
      <c r="B100" s="31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 spans="1:16" s="1" customFormat="1" x14ac:dyDescent="0.2">
      <c r="A101" s="35">
        <f>Note!$B$2</f>
        <v>2565</v>
      </c>
      <c r="B101" s="36">
        <v>901</v>
      </c>
      <c r="C101" s="30" t="s">
        <v>72</v>
      </c>
      <c r="D101" s="1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s="1" customFormat="1" x14ac:dyDescent="0.2">
      <c r="A102" s="35">
        <f>Note!$B$2</f>
        <v>2565</v>
      </c>
      <c r="B102" s="36">
        <v>902</v>
      </c>
      <c r="C102" s="30" t="s">
        <v>73</v>
      </c>
      <c r="D102" s="1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s="1" customFormat="1" x14ac:dyDescent="0.2">
      <c r="A103" s="35">
        <f>Note!$B$2</f>
        <v>2565</v>
      </c>
      <c r="B103" s="36">
        <v>903</v>
      </c>
      <c r="C103" s="30" t="s">
        <v>74</v>
      </c>
      <c r="D103" s="1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s="1" customFormat="1" x14ac:dyDescent="0.2">
      <c r="A104" s="35">
        <f>Note!$B$2</f>
        <v>2565</v>
      </c>
      <c r="B104" s="36">
        <v>904</v>
      </c>
      <c r="C104" s="30" t="s">
        <v>75</v>
      </c>
      <c r="D104" s="1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s="1" customFormat="1" x14ac:dyDescent="0.2">
      <c r="A105" s="35">
        <f>Note!$B$2</f>
        <v>2565</v>
      </c>
      <c r="B105" s="36">
        <v>905</v>
      </c>
      <c r="C105" s="30" t="s">
        <v>76</v>
      </c>
      <c r="D105" s="1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s="1" customFormat="1" x14ac:dyDescent="0.2">
      <c r="A106" s="35">
        <f>Note!$B$2</f>
        <v>2565</v>
      </c>
      <c r="B106" s="36">
        <v>906</v>
      </c>
      <c r="C106" s="30" t="s">
        <v>77</v>
      </c>
      <c r="D106" s="1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s="1" customFormat="1" x14ac:dyDescent="0.2">
      <c r="A107" s="35">
        <f>Note!$B$2</f>
        <v>2565</v>
      </c>
      <c r="B107" s="36">
        <v>907</v>
      </c>
      <c r="C107" s="30" t="s">
        <v>78</v>
      </c>
      <c r="D107" s="1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s="1" customFormat="1" x14ac:dyDescent="0.2">
      <c r="A108" s="35">
        <f>Note!$B$2</f>
        <v>2565</v>
      </c>
      <c r="B108" s="36">
        <v>908</v>
      </c>
      <c r="C108" s="30" t="s">
        <v>79</v>
      </c>
      <c r="D108" s="1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s="1" customFormat="1" x14ac:dyDescent="0.2">
      <c r="A109" s="35">
        <f>Note!$B$2</f>
        <v>2565</v>
      </c>
      <c r="B109" s="36">
        <v>909</v>
      </c>
      <c r="C109" s="30" t="s">
        <v>80</v>
      </c>
      <c r="D109" s="1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s="1" customFormat="1" x14ac:dyDescent="0.2">
      <c r="A110" s="35">
        <f>Note!$B$2</f>
        <v>2565</v>
      </c>
      <c r="B110" s="36">
        <v>910</v>
      </c>
      <c r="C110" s="30" t="s">
        <v>81</v>
      </c>
      <c r="D110" s="1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s="1" customFormat="1" x14ac:dyDescent="0.2">
      <c r="A111" s="35">
        <f>Note!$B$2</f>
        <v>2565</v>
      </c>
      <c r="B111" s="36">
        <v>911</v>
      </c>
      <c r="C111" s="30"/>
      <c r="D111" s="1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s="1" customFormat="1" x14ac:dyDescent="0.2">
      <c r="A112" s="35">
        <f>Note!$B$2</f>
        <v>2565</v>
      </c>
      <c r="B112" s="36">
        <v>912</v>
      </c>
      <c r="C112" s="30"/>
      <c r="D112" s="1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s="1" customFormat="1" x14ac:dyDescent="0.2">
      <c r="A113" s="35">
        <f>Note!$B$2</f>
        <v>2565</v>
      </c>
      <c r="B113" s="36">
        <v>913</v>
      </c>
      <c r="C113" s="30"/>
      <c r="D113" s="1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s="1" customFormat="1" x14ac:dyDescent="0.2">
      <c r="A114" s="35">
        <f>Note!$B$2</f>
        <v>2565</v>
      </c>
      <c r="B114" s="36">
        <v>914</v>
      </c>
      <c r="C114" s="30"/>
      <c r="D114" s="1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s="1" customFormat="1" x14ac:dyDescent="0.2">
      <c r="A115" s="35">
        <f>Note!$B$2</f>
        <v>2565</v>
      </c>
      <c r="B115" s="36">
        <v>915</v>
      </c>
      <c r="C115" s="30"/>
      <c r="D115" s="1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s="1" customFormat="1" x14ac:dyDescent="0.2">
      <c r="A116" s="35">
        <f>Note!$B$2</f>
        <v>2565</v>
      </c>
      <c r="B116" s="36">
        <v>916</v>
      </c>
      <c r="C116" s="30"/>
      <c r="D116" s="1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s="1" customFormat="1" x14ac:dyDescent="0.2">
      <c r="A117" s="35">
        <f>Note!$B$2</f>
        <v>2565</v>
      </c>
      <c r="B117" s="36">
        <v>917</v>
      </c>
      <c r="C117" s="39"/>
      <c r="D117" s="1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s="1" customFormat="1" x14ac:dyDescent="0.2">
      <c r="A118" s="35">
        <f>Note!$B$2</f>
        <v>2565</v>
      </c>
      <c r="B118" s="36">
        <v>918</v>
      </c>
      <c r="C118" s="30"/>
      <c r="D118" s="1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s="1" customFormat="1" x14ac:dyDescent="0.2">
      <c r="A119" s="35">
        <f>Note!$B$2</f>
        <v>2565</v>
      </c>
      <c r="B119" s="36">
        <v>919</v>
      </c>
      <c r="C119" s="30"/>
      <c r="D119" s="1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s="1" customFormat="1" x14ac:dyDescent="0.2">
      <c r="A120" s="35">
        <f>Note!$B$2</f>
        <v>2565</v>
      </c>
      <c r="B120" s="36">
        <v>920</v>
      </c>
      <c r="C120" s="30"/>
      <c r="D120" s="1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</sheetData>
  <mergeCells count="4">
    <mergeCell ref="D2:F2"/>
    <mergeCell ref="N2:O2"/>
    <mergeCell ref="G2:L2"/>
    <mergeCell ref="P2:P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6"/>
  <sheetViews>
    <sheetView showGridLines="0" tabSelected="1" zoomScale="110" zoomScaleNormal="110" workbookViewId="0">
      <pane ySplit="6" topLeftCell="A7" activePane="bottomLeft" state="frozen"/>
      <selection pane="bottomLeft" activeCell="A9" sqref="A9:XFD9"/>
    </sheetView>
  </sheetViews>
  <sheetFormatPr defaultRowHeight="12.75" x14ac:dyDescent="0.2"/>
  <cols>
    <col min="1" max="1" width="5" style="3" customWidth="1"/>
    <col min="2" max="2" width="12.5" style="41" customWidth="1"/>
    <col min="3" max="3" width="26.75" style="1" customWidth="1"/>
    <col min="4" max="4" width="8.25" style="41" customWidth="1"/>
    <col min="5" max="5" width="10.5" style="1" customWidth="1"/>
    <col min="6" max="6" width="10.625" style="1" customWidth="1"/>
    <col min="7" max="7" width="9" style="1"/>
    <col min="8" max="8" width="9.5" style="1" bestFit="1" customWidth="1"/>
    <col min="9" max="13" width="9" style="1"/>
    <col min="14" max="14" width="9.625" style="1" customWidth="1"/>
    <col min="15" max="16" width="9" style="1"/>
    <col min="17" max="17" width="10.625" style="1" customWidth="1"/>
    <col min="18" max="16384" width="9" style="1"/>
  </cols>
  <sheetData>
    <row r="1" spans="1:17" x14ac:dyDescent="0.2">
      <c r="E1" s="42" t="s">
        <v>93</v>
      </c>
      <c r="F1" s="43"/>
      <c r="G1" s="42">
        <f>Note!$B$2</f>
        <v>2565</v>
      </c>
      <c r="H1" s="1" t="str">
        <f>Note!$B$1</f>
        <v>วิทยาลัยการอาชีพแม่สะเรียง</v>
      </c>
      <c r="I1" s="43"/>
      <c r="J1" s="43"/>
      <c r="K1" s="43"/>
      <c r="L1" s="43"/>
      <c r="M1" s="43"/>
      <c r="N1" s="43"/>
      <c r="O1" s="43"/>
      <c r="P1" s="43"/>
      <c r="Q1" s="43"/>
    </row>
    <row r="2" spans="1:17" x14ac:dyDescent="0.2">
      <c r="E2" s="57" t="s">
        <v>13</v>
      </c>
      <c r="F2" s="57"/>
      <c r="G2" s="57"/>
      <c r="H2" s="55" t="s">
        <v>14</v>
      </c>
      <c r="I2" s="55"/>
      <c r="J2" s="55"/>
      <c r="K2" s="55"/>
      <c r="L2" s="55"/>
      <c r="M2" s="55"/>
      <c r="N2" s="2" t="s">
        <v>16</v>
      </c>
      <c r="O2" s="55" t="s">
        <v>15</v>
      </c>
      <c r="P2" s="55"/>
      <c r="Q2" s="56" t="s">
        <v>10</v>
      </c>
    </row>
    <row r="3" spans="1:17" x14ac:dyDescent="0.2">
      <c r="E3" s="2" t="s">
        <v>0</v>
      </c>
      <c r="F3" s="2" t="s">
        <v>1</v>
      </c>
      <c r="G3" s="2" t="s">
        <v>2</v>
      </c>
      <c r="H3" s="2" t="s">
        <v>11</v>
      </c>
      <c r="I3" s="2" t="s">
        <v>3</v>
      </c>
      <c r="J3" s="2" t="s">
        <v>4</v>
      </c>
      <c r="K3" s="2" t="s">
        <v>6</v>
      </c>
      <c r="L3" s="2" t="s">
        <v>5</v>
      </c>
      <c r="M3" s="2" t="s">
        <v>7</v>
      </c>
      <c r="N3" s="2" t="s">
        <v>12</v>
      </c>
      <c r="O3" s="2" t="s">
        <v>8</v>
      </c>
      <c r="P3" s="2" t="s">
        <v>9</v>
      </c>
      <c r="Q3" s="56"/>
    </row>
    <row r="4" spans="1:17" x14ac:dyDescent="0.2">
      <c r="D4" s="44" t="s">
        <v>92</v>
      </c>
      <c r="E4" s="5">
        <f>SUM(E7:E106)</f>
        <v>1284440</v>
      </c>
      <c r="F4" s="5">
        <f t="shared" ref="F4:P4" si="0">SUM(F7:F106)</f>
        <v>316100</v>
      </c>
      <c r="G4" s="5">
        <f t="shared" si="0"/>
        <v>81600</v>
      </c>
      <c r="H4" s="5">
        <f t="shared" si="0"/>
        <v>1731550</v>
      </c>
      <c r="I4" s="5">
        <f t="shared" si="0"/>
        <v>551000</v>
      </c>
      <c r="J4" s="5">
        <f t="shared" si="0"/>
        <v>0</v>
      </c>
      <c r="K4" s="5">
        <f t="shared" si="0"/>
        <v>261725</v>
      </c>
      <c r="L4" s="5">
        <f t="shared" si="0"/>
        <v>126730</v>
      </c>
      <c r="M4" s="5">
        <f t="shared" si="0"/>
        <v>0</v>
      </c>
      <c r="N4" s="5">
        <f t="shared" si="0"/>
        <v>210600</v>
      </c>
      <c r="O4" s="5">
        <f t="shared" si="0"/>
        <v>0</v>
      </c>
      <c r="P4" s="5">
        <f t="shared" si="0"/>
        <v>0</v>
      </c>
      <c r="Q4" s="5">
        <f>SUM(E4:P4)</f>
        <v>4563745</v>
      </c>
    </row>
    <row r="6" spans="1:17" x14ac:dyDescent="0.2">
      <c r="A6" s="10" t="s">
        <v>88</v>
      </c>
      <c r="B6" s="14" t="s">
        <v>89</v>
      </c>
      <c r="C6" s="10" t="s">
        <v>90</v>
      </c>
      <c r="D6" s="14" t="s">
        <v>91</v>
      </c>
      <c r="E6" s="2" t="s">
        <v>0</v>
      </c>
      <c r="F6" s="2" t="s">
        <v>1</v>
      </c>
      <c r="G6" s="2" t="s">
        <v>2</v>
      </c>
      <c r="H6" s="2" t="s">
        <v>11</v>
      </c>
      <c r="I6" s="2" t="s">
        <v>3</v>
      </c>
      <c r="J6" s="2" t="s">
        <v>4</v>
      </c>
      <c r="K6" s="2" t="s">
        <v>6</v>
      </c>
      <c r="L6" s="2" t="s">
        <v>5</v>
      </c>
      <c r="M6" s="2" t="s">
        <v>7</v>
      </c>
      <c r="N6" s="2" t="s">
        <v>12</v>
      </c>
      <c r="O6" s="2" t="s">
        <v>8</v>
      </c>
      <c r="P6" s="2" t="s">
        <v>9</v>
      </c>
      <c r="Q6" s="11" t="s">
        <v>10</v>
      </c>
    </row>
    <row r="7" spans="1:17" x14ac:dyDescent="0.2">
      <c r="A7" s="10">
        <v>1</v>
      </c>
      <c r="B7" s="45" t="s">
        <v>95</v>
      </c>
      <c r="C7" s="13" t="s">
        <v>96</v>
      </c>
      <c r="D7" s="46" t="s">
        <v>94</v>
      </c>
      <c r="E7" s="5">
        <v>168400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f>SUM(E7:P7)</f>
        <v>168400</v>
      </c>
    </row>
    <row r="8" spans="1:17" x14ac:dyDescent="0.2">
      <c r="A8" s="10">
        <v>2</v>
      </c>
      <c r="B8" s="45" t="s">
        <v>165</v>
      </c>
      <c r="C8" s="13" t="s">
        <v>166</v>
      </c>
      <c r="D8" s="53"/>
      <c r="E8" s="5"/>
      <c r="F8" s="5"/>
      <c r="G8" s="5"/>
      <c r="H8" s="5"/>
      <c r="I8" s="5"/>
      <c r="J8" s="5"/>
      <c r="K8" s="5">
        <v>261725</v>
      </c>
      <c r="L8" s="5"/>
      <c r="M8" s="5"/>
      <c r="N8" s="5"/>
      <c r="O8" s="5"/>
      <c r="P8" s="5"/>
      <c r="Q8" s="5">
        <f t="shared" ref="Q8:Q71" si="1">SUM(E8:P8)</f>
        <v>261725</v>
      </c>
    </row>
    <row r="9" spans="1:17" x14ac:dyDescent="0.2">
      <c r="A9" s="10">
        <v>3</v>
      </c>
      <c r="B9" s="45" t="s">
        <v>165</v>
      </c>
      <c r="C9" s="13" t="s">
        <v>167</v>
      </c>
      <c r="D9" s="46"/>
      <c r="E9" s="5"/>
      <c r="F9" s="5"/>
      <c r="G9" s="5"/>
      <c r="H9" s="5">
        <v>1731550</v>
      </c>
      <c r="I9" s="5"/>
      <c r="J9" s="5"/>
      <c r="K9" s="5"/>
      <c r="L9" s="5"/>
      <c r="M9" s="5"/>
      <c r="N9" s="5"/>
      <c r="O9" s="5"/>
      <c r="P9" s="5"/>
      <c r="Q9" s="5">
        <f t="shared" si="1"/>
        <v>1731550</v>
      </c>
    </row>
    <row r="10" spans="1:17" x14ac:dyDescent="0.2">
      <c r="A10" s="10">
        <v>4</v>
      </c>
      <c r="B10" s="45" t="s">
        <v>165</v>
      </c>
      <c r="C10" s="13" t="s">
        <v>168</v>
      </c>
      <c r="D10" s="46"/>
      <c r="E10" s="5"/>
      <c r="F10" s="5"/>
      <c r="G10" s="5"/>
      <c r="H10" s="5"/>
      <c r="I10" s="5">
        <v>551000</v>
      </c>
      <c r="J10" s="5"/>
      <c r="K10" s="5"/>
      <c r="L10" s="5"/>
      <c r="M10" s="5"/>
      <c r="N10" s="5"/>
      <c r="O10" s="5"/>
      <c r="P10" s="5"/>
      <c r="Q10" s="5">
        <f t="shared" si="1"/>
        <v>551000</v>
      </c>
    </row>
    <row r="11" spans="1:17" x14ac:dyDescent="0.2">
      <c r="A11" s="10">
        <v>5</v>
      </c>
      <c r="B11" s="45" t="s">
        <v>165</v>
      </c>
      <c r="C11" s="13" t="s">
        <v>169</v>
      </c>
      <c r="D11" s="46"/>
      <c r="E11" s="5"/>
      <c r="F11" s="5"/>
      <c r="G11" s="5"/>
      <c r="H11" s="5"/>
      <c r="I11" s="5"/>
      <c r="J11" s="5"/>
      <c r="K11" s="5"/>
      <c r="L11" s="5">
        <v>126730</v>
      </c>
      <c r="M11" s="5"/>
      <c r="N11" s="5"/>
      <c r="O11" s="5"/>
      <c r="P11" s="5"/>
      <c r="Q11" s="5">
        <f t="shared" si="1"/>
        <v>126730</v>
      </c>
    </row>
    <row r="12" spans="1:17" x14ac:dyDescent="0.2">
      <c r="A12" s="10">
        <v>6</v>
      </c>
      <c r="B12" s="45" t="s">
        <v>173</v>
      </c>
      <c r="C12" s="13" t="s">
        <v>174</v>
      </c>
      <c r="D12" s="46"/>
      <c r="E12" s="5"/>
      <c r="F12" s="5">
        <v>316100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si="1"/>
        <v>316100</v>
      </c>
    </row>
    <row r="13" spans="1:17" x14ac:dyDescent="0.2">
      <c r="A13" s="10">
        <v>7</v>
      </c>
      <c r="B13" s="45" t="s">
        <v>173</v>
      </c>
      <c r="C13" s="13" t="s">
        <v>175</v>
      </c>
      <c r="D13" s="46"/>
      <c r="E13" s="5"/>
      <c r="F13" s="5"/>
      <c r="G13" s="5">
        <v>81600</v>
      </c>
      <c r="H13" s="5"/>
      <c r="I13" s="5"/>
      <c r="J13" s="5"/>
      <c r="K13" s="5"/>
      <c r="L13" s="5"/>
      <c r="M13" s="5"/>
      <c r="N13" s="5"/>
      <c r="O13" s="5"/>
      <c r="P13" s="5"/>
      <c r="Q13" s="5">
        <f t="shared" si="1"/>
        <v>81600</v>
      </c>
    </row>
    <row r="14" spans="1:17" x14ac:dyDescent="0.2">
      <c r="A14" s="10">
        <v>8</v>
      </c>
      <c r="B14" s="45" t="s">
        <v>173</v>
      </c>
      <c r="C14" s="13" t="s">
        <v>176</v>
      </c>
      <c r="D14" s="45"/>
      <c r="E14" s="5">
        <v>240000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1"/>
        <v>240000</v>
      </c>
    </row>
    <row r="15" spans="1:17" x14ac:dyDescent="0.2">
      <c r="A15" s="10">
        <v>9</v>
      </c>
      <c r="B15" s="45" t="s">
        <v>177</v>
      </c>
      <c r="C15" s="13" t="s">
        <v>178</v>
      </c>
      <c r="D15" s="45"/>
      <c r="E15" s="5">
        <v>844350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1"/>
        <v>844350</v>
      </c>
    </row>
    <row r="16" spans="1:17" x14ac:dyDescent="0.2">
      <c r="A16" s="10">
        <v>10</v>
      </c>
      <c r="B16" s="45" t="s">
        <v>179</v>
      </c>
      <c r="C16" s="13" t="s">
        <v>180</v>
      </c>
      <c r="D16" s="45"/>
      <c r="E16" s="5">
        <v>31690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1"/>
        <v>31690</v>
      </c>
    </row>
    <row r="17" spans="1:17" x14ac:dyDescent="0.2">
      <c r="A17" s="10">
        <v>11</v>
      </c>
      <c r="B17" s="45" t="s">
        <v>170</v>
      </c>
      <c r="C17" s="13" t="s">
        <v>171</v>
      </c>
      <c r="D17" s="45"/>
      <c r="E17" s="5"/>
      <c r="F17" s="5"/>
      <c r="G17" s="5"/>
      <c r="H17" s="5"/>
      <c r="I17" s="5"/>
      <c r="J17" s="5"/>
      <c r="K17" s="5"/>
      <c r="L17" s="5"/>
      <c r="M17" s="5"/>
      <c r="N17" s="5">
        <v>94800</v>
      </c>
      <c r="O17" s="5"/>
      <c r="P17" s="5"/>
      <c r="Q17" s="5">
        <f t="shared" si="1"/>
        <v>94800</v>
      </c>
    </row>
    <row r="18" spans="1:17" x14ac:dyDescent="0.2">
      <c r="A18" s="10">
        <v>12</v>
      </c>
      <c r="B18" s="45" t="s">
        <v>170</v>
      </c>
      <c r="C18" s="13" t="s">
        <v>172</v>
      </c>
      <c r="D18" s="45"/>
      <c r="E18" s="5"/>
      <c r="F18" s="5"/>
      <c r="G18" s="5"/>
      <c r="H18" s="5"/>
      <c r="I18" s="5"/>
      <c r="J18" s="5"/>
      <c r="K18" s="5"/>
      <c r="L18" s="5"/>
      <c r="M18" s="5"/>
      <c r="N18" s="5">
        <v>58800</v>
      </c>
      <c r="O18" s="5"/>
      <c r="P18" s="5"/>
      <c r="Q18" s="5">
        <f t="shared" si="1"/>
        <v>58800</v>
      </c>
    </row>
    <row r="19" spans="1:17" x14ac:dyDescent="0.2">
      <c r="A19" s="10">
        <v>13</v>
      </c>
      <c r="B19" s="45" t="s">
        <v>165</v>
      </c>
      <c r="C19" s="13" t="s">
        <v>181</v>
      </c>
      <c r="D19" s="45"/>
      <c r="E19" s="5"/>
      <c r="F19" s="5"/>
      <c r="G19" s="5"/>
      <c r="H19" s="5"/>
      <c r="I19" s="5"/>
      <c r="J19" s="5"/>
      <c r="K19" s="5"/>
      <c r="L19" s="5"/>
      <c r="M19" s="5"/>
      <c r="N19" s="5">
        <v>41000</v>
      </c>
      <c r="O19" s="5"/>
      <c r="P19" s="5"/>
      <c r="Q19" s="5">
        <f t="shared" si="1"/>
        <v>41000</v>
      </c>
    </row>
    <row r="20" spans="1:17" x14ac:dyDescent="0.2">
      <c r="A20" s="10">
        <v>14</v>
      </c>
      <c r="B20" s="45" t="s">
        <v>182</v>
      </c>
      <c r="C20" s="13" t="s">
        <v>183</v>
      </c>
      <c r="D20" s="45"/>
      <c r="E20" s="5"/>
      <c r="F20" s="5"/>
      <c r="G20" s="5"/>
      <c r="H20" s="5"/>
      <c r="I20" s="5"/>
      <c r="J20" s="5"/>
      <c r="K20" s="5"/>
      <c r="L20" s="5"/>
      <c r="M20" s="5"/>
      <c r="N20" s="5">
        <v>16000</v>
      </c>
      <c r="O20" s="5"/>
      <c r="P20" s="5"/>
      <c r="Q20" s="5">
        <f t="shared" si="1"/>
        <v>16000</v>
      </c>
    </row>
    <row r="21" spans="1:17" x14ac:dyDescent="0.2">
      <c r="A21" s="10">
        <v>15</v>
      </c>
      <c r="B21" s="45"/>
      <c r="C21" s="13"/>
      <c r="D21" s="4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1"/>
        <v>0</v>
      </c>
    </row>
    <row r="22" spans="1:17" x14ac:dyDescent="0.2">
      <c r="A22" s="10">
        <v>16</v>
      </c>
      <c r="B22" s="45"/>
      <c r="C22" s="13"/>
      <c r="D22" s="4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1"/>
        <v>0</v>
      </c>
    </row>
    <row r="23" spans="1:17" x14ac:dyDescent="0.2">
      <c r="A23" s="10">
        <v>17</v>
      </c>
      <c r="B23" s="45"/>
      <c r="C23" s="13"/>
      <c r="D23" s="4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1"/>
        <v>0</v>
      </c>
    </row>
    <row r="24" spans="1:17" x14ac:dyDescent="0.2">
      <c r="A24" s="10">
        <v>18</v>
      </c>
      <c r="B24" s="45"/>
      <c r="C24" s="13"/>
      <c r="D24" s="4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1"/>
        <v>0</v>
      </c>
    </row>
    <row r="25" spans="1:17" x14ac:dyDescent="0.2">
      <c r="A25" s="10">
        <v>19</v>
      </c>
      <c r="B25" s="45"/>
      <c r="C25" s="13"/>
      <c r="D25" s="4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1"/>
        <v>0</v>
      </c>
    </row>
    <row r="26" spans="1:17" x14ac:dyDescent="0.2">
      <c r="A26" s="10">
        <v>20</v>
      </c>
      <c r="B26" s="45"/>
      <c r="C26" s="13"/>
      <c r="D26" s="4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1"/>
        <v>0</v>
      </c>
    </row>
    <row r="27" spans="1:17" x14ac:dyDescent="0.2">
      <c r="A27" s="10">
        <v>21</v>
      </c>
      <c r="B27" s="45"/>
      <c r="C27" s="13"/>
      <c r="D27" s="4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1"/>
        <v>0</v>
      </c>
    </row>
    <row r="28" spans="1:17" x14ac:dyDescent="0.2">
      <c r="A28" s="10">
        <v>22</v>
      </c>
      <c r="B28" s="45"/>
      <c r="C28" s="13"/>
      <c r="D28" s="4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1"/>
        <v>0</v>
      </c>
    </row>
    <row r="29" spans="1:17" x14ac:dyDescent="0.2">
      <c r="A29" s="10">
        <v>23</v>
      </c>
      <c r="B29" s="45"/>
      <c r="C29" s="13"/>
      <c r="D29" s="4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1"/>
        <v>0</v>
      </c>
    </row>
    <row r="30" spans="1:17" x14ac:dyDescent="0.2">
      <c r="A30" s="10">
        <v>24</v>
      </c>
      <c r="B30" s="45"/>
      <c r="C30" s="13"/>
      <c r="D30" s="4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1"/>
        <v>0</v>
      </c>
    </row>
    <row r="31" spans="1:17" x14ac:dyDescent="0.2">
      <c r="A31" s="10">
        <v>25</v>
      </c>
      <c r="B31" s="45"/>
      <c r="C31" s="13"/>
      <c r="D31" s="4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1"/>
        <v>0</v>
      </c>
    </row>
    <row r="32" spans="1:17" x14ac:dyDescent="0.2">
      <c r="A32" s="10">
        <v>26</v>
      </c>
      <c r="B32" s="45"/>
      <c r="C32" s="13"/>
      <c r="D32" s="4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1"/>
        <v>0</v>
      </c>
    </row>
    <row r="33" spans="1:17" x14ac:dyDescent="0.2">
      <c r="A33" s="10">
        <v>27</v>
      </c>
      <c r="B33" s="45"/>
      <c r="C33" s="13"/>
      <c r="D33" s="4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1"/>
        <v>0</v>
      </c>
    </row>
    <row r="34" spans="1:17" x14ac:dyDescent="0.2">
      <c r="A34" s="10">
        <v>28</v>
      </c>
      <c r="B34" s="45"/>
      <c r="C34" s="13"/>
      <c r="D34" s="4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1"/>
        <v>0</v>
      </c>
    </row>
    <row r="35" spans="1:17" x14ac:dyDescent="0.2">
      <c r="A35" s="10">
        <v>29</v>
      </c>
      <c r="B35" s="45"/>
      <c r="C35" s="13"/>
      <c r="D35" s="4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1"/>
        <v>0</v>
      </c>
    </row>
    <row r="36" spans="1:17" x14ac:dyDescent="0.2">
      <c r="A36" s="10">
        <v>30</v>
      </c>
      <c r="B36" s="45"/>
      <c r="C36" s="13"/>
      <c r="D36" s="4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1"/>
        <v>0</v>
      </c>
    </row>
    <row r="37" spans="1:17" x14ac:dyDescent="0.2">
      <c r="A37" s="10">
        <v>31</v>
      </c>
      <c r="B37" s="45"/>
      <c r="C37" s="13"/>
      <c r="D37" s="4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1"/>
        <v>0</v>
      </c>
    </row>
    <row r="38" spans="1:17" x14ac:dyDescent="0.2">
      <c r="A38" s="10">
        <v>32</v>
      </c>
      <c r="B38" s="45"/>
      <c r="C38" s="13"/>
      <c r="D38" s="4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1"/>
        <v>0</v>
      </c>
    </row>
    <row r="39" spans="1:17" x14ac:dyDescent="0.2">
      <c r="A39" s="10">
        <v>33</v>
      </c>
      <c r="B39" s="45"/>
      <c r="C39" s="13"/>
      <c r="D39" s="4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1"/>
        <v>0</v>
      </c>
    </row>
    <row r="40" spans="1:17" x14ac:dyDescent="0.2">
      <c r="A40" s="10">
        <v>34</v>
      </c>
      <c r="B40" s="45"/>
      <c r="C40" s="13"/>
      <c r="D40" s="4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1"/>
        <v>0</v>
      </c>
    </row>
    <row r="41" spans="1:17" x14ac:dyDescent="0.2">
      <c r="A41" s="10">
        <v>35</v>
      </c>
      <c r="B41" s="45"/>
      <c r="C41" s="13"/>
      <c r="D41" s="4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1"/>
        <v>0</v>
      </c>
    </row>
    <row r="42" spans="1:17" x14ac:dyDescent="0.2">
      <c r="A42" s="10">
        <v>36</v>
      </c>
      <c r="B42" s="45"/>
      <c r="C42" s="13"/>
      <c r="D42" s="4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1"/>
        <v>0</v>
      </c>
    </row>
    <row r="43" spans="1:17" x14ac:dyDescent="0.2">
      <c r="A43" s="10">
        <v>37</v>
      </c>
      <c r="B43" s="45"/>
      <c r="C43" s="13"/>
      <c r="D43" s="4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1"/>
        <v>0</v>
      </c>
    </row>
    <row r="44" spans="1:17" x14ac:dyDescent="0.2">
      <c r="A44" s="10">
        <v>38</v>
      </c>
      <c r="B44" s="45"/>
      <c r="C44" s="13"/>
      <c r="D44" s="4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1"/>
        <v>0</v>
      </c>
    </row>
    <row r="45" spans="1:17" x14ac:dyDescent="0.2">
      <c r="A45" s="10">
        <v>39</v>
      </c>
      <c r="B45" s="45"/>
      <c r="C45" s="13"/>
      <c r="D45" s="4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1"/>
        <v>0</v>
      </c>
    </row>
    <row r="46" spans="1:17" x14ac:dyDescent="0.2">
      <c r="A46" s="10">
        <v>40</v>
      </c>
      <c r="B46" s="45"/>
      <c r="C46" s="13"/>
      <c r="D46" s="4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f t="shared" si="1"/>
        <v>0</v>
      </c>
    </row>
    <row r="47" spans="1:17" x14ac:dyDescent="0.2">
      <c r="A47" s="10">
        <v>41</v>
      </c>
      <c r="B47" s="45"/>
      <c r="C47" s="13"/>
      <c r="D47" s="4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f t="shared" si="1"/>
        <v>0</v>
      </c>
    </row>
    <row r="48" spans="1:17" x14ac:dyDescent="0.2">
      <c r="A48" s="10">
        <v>42</v>
      </c>
      <c r="B48" s="45"/>
      <c r="C48" s="13"/>
      <c r="D48" s="4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f t="shared" si="1"/>
        <v>0</v>
      </c>
    </row>
    <row r="49" spans="1:17" x14ac:dyDescent="0.2">
      <c r="A49" s="10">
        <v>43</v>
      </c>
      <c r="B49" s="45"/>
      <c r="C49" s="13"/>
      <c r="D49" s="4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f t="shared" si="1"/>
        <v>0</v>
      </c>
    </row>
    <row r="50" spans="1:17" x14ac:dyDescent="0.2">
      <c r="A50" s="10">
        <v>44</v>
      </c>
      <c r="B50" s="45"/>
      <c r="C50" s="13"/>
      <c r="D50" s="4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f t="shared" si="1"/>
        <v>0</v>
      </c>
    </row>
    <row r="51" spans="1:17" x14ac:dyDescent="0.2">
      <c r="A51" s="10">
        <v>45</v>
      </c>
      <c r="B51" s="45"/>
      <c r="C51" s="13"/>
      <c r="D51" s="4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f t="shared" si="1"/>
        <v>0</v>
      </c>
    </row>
    <row r="52" spans="1:17" x14ac:dyDescent="0.2">
      <c r="A52" s="10">
        <v>46</v>
      </c>
      <c r="B52" s="45"/>
      <c r="C52" s="13"/>
      <c r="D52" s="4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f t="shared" si="1"/>
        <v>0</v>
      </c>
    </row>
    <row r="53" spans="1:17" x14ac:dyDescent="0.2">
      <c r="A53" s="10">
        <v>47</v>
      </c>
      <c r="B53" s="45"/>
      <c r="C53" s="13"/>
      <c r="D53" s="4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f t="shared" si="1"/>
        <v>0</v>
      </c>
    </row>
    <row r="54" spans="1:17" x14ac:dyDescent="0.2">
      <c r="A54" s="10">
        <v>48</v>
      </c>
      <c r="B54" s="45"/>
      <c r="C54" s="13"/>
      <c r="D54" s="4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f t="shared" si="1"/>
        <v>0</v>
      </c>
    </row>
    <row r="55" spans="1:17" x14ac:dyDescent="0.2">
      <c r="A55" s="10">
        <v>49</v>
      </c>
      <c r="B55" s="45"/>
      <c r="C55" s="13"/>
      <c r="D55" s="4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f t="shared" si="1"/>
        <v>0</v>
      </c>
    </row>
    <row r="56" spans="1:17" x14ac:dyDescent="0.2">
      <c r="A56" s="10">
        <v>50</v>
      </c>
      <c r="B56" s="45"/>
      <c r="C56" s="13"/>
      <c r="D56" s="4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f t="shared" si="1"/>
        <v>0</v>
      </c>
    </row>
    <row r="57" spans="1:17" x14ac:dyDescent="0.2">
      <c r="A57" s="10">
        <v>51</v>
      </c>
      <c r="B57" s="45"/>
      <c r="C57" s="13"/>
      <c r="D57" s="4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5">
        <f t="shared" si="1"/>
        <v>0</v>
      </c>
    </row>
    <row r="58" spans="1:17" x14ac:dyDescent="0.2">
      <c r="A58" s="10">
        <v>52</v>
      </c>
      <c r="B58" s="45"/>
      <c r="C58" s="13"/>
      <c r="D58" s="4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5">
        <f t="shared" si="1"/>
        <v>0</v>
      </c>
    </row>
    <row r="59" spans="1:17" x14ac:dyDescent="0.2">
      <c r="A59" s="10">
        <v>53</v>
      </c>
      <c r="B59" s="45"/>
      <c r="C59" s="13"/>
      <c r="D59" s="4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5">
        <f t="shared" si="1"/>
        <v>0</v>
      </c>
    </row>
    <row r="60" spans="1:17" x14ac:dyDescent="0.2">
      <c r="A60" s="10">
        <v>54</v>
      </c>
      <c r="B60" s="45"/>
      <c r="C60" s="13"/>
      <c r="D60" s="4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5">
        <f t="shared" si="1"/>
        <v>0</v>
      </c>
    </row>
    <row r="61" spans="1:17" x14ac:dyDescent="0.2">
      <c r="A61" s="10">
        <v>55</v>
      </c>
      <c r="B61" s="45"/>
      <c r="C61" s="13"/>
      <c r="D61" s="4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5">
        <f t="shared" si="1"/>
        <v>0</v>
      </c>
    </row>
    <row r="62" spans="1:17" x14ac:dyDescent="0.2">
      <c r="A62" s="10">
        <v>56</v>
      </c>
      <c r="B62" s="45"/>
      <c r="C62" s="13"/>
      <c r="D62" s="4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5">
        <f t="shared" si="1"/>
        <v>0</v>
      </c>
    </row>
    <row r="63" spans="1:17" x14ac:dyDescent="0.2">
      <c r="A63" s="10">
        <v>57</v>
      </c>
      <c r="B63" s="45"/>
      <c r="C63" s="13"/>
      <c r="D63" s="4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5">
        <f t="shared" si="1"/>
        <v>0</v>
      </c>
    </row>
    <row r="64" spans="1:17" x14ac:dyDescent="0.2">
      <c r="A64" s="10">
        <v>58</v>
      </c>
      <c r="B64" s="45"/>
      <c r="C64" s="13"/>
      <c r="D64" s="4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5">
        <f t="shared" si="1"/>
        <v>0</v>
      </c>
    </row>
    <row r="65" spans="1:17" x14ac:dyDescent="0.2">
      <c r="A65" s="10">
        <v>59</v>
      </c>
      <c r="B65" s="45"/>
      <c r="C65" s="13"/>
      <c r="D65" s="4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5">
        <f t="shared" si="1"/>
        <v>0</v>
      </c>
    </row>
    <row r="66" spans="1:17" x14ac:dyDescent="0.2">
      <c r="A66" s="10">
        <v>60</v>
      </c>
      <c r="B66" s="45"/>
      <c r="C66" s="13"/>
      <c r="D66" s="4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5">
        <f t="shared" si="1"/>
        <v>0</v>
      </c>
    </row>
    <row r="67" spans="1:17" x14ac:dyDescent="0.2">
      <c r="A67" s="10">
        <v>61</v>
      </c>
      <c r="B67" s="45"/>
      <c r="C67" s="13"/>
      <c r="D67" s="4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5">
        <f t="shared" si="1"/>
        <v>0</v>
      </c>
    </row>
    <row r="68" spans="1:17" x14ac:dyDescent="0.2">
      <c r="A68" s="10">
        <v>62</v>
      </c>
      <c r="B68" s="45"/>
      <c r="C68" s="13"/>
      <c r="D68" s="4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5">
        <f t="shared" si="1"/>
        <v>0</v>
      </c>
    </row>
    <row r="69" spans="1:17" x14ac:dyDescent="0.2">
      <c r="A69" s="10">
        <v>63</v>
      </c>
      <c r="B69" s="45"/>
      <c r="C69" s="13"/>
      <c r="D69" s="4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5">
        <f t="shared" si="1"/>
        <v>0</v>
      </c>
    </row>
    <row r="70" spans="1:17" x14ac:dyDescent="0.2">
      <c r="A70" s="10">
        <v>64</v>
      </c>
      <c r="B70" s="45"/>
      <c r="C70" s="13"/>
      <c r="D70" s="4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5">
        <f t="shared" si="1"/>
        <v>0</v>
      </c>
    </row>
    <row r="71" spans="1:17" x14ac:dyDescent="0.2">
      <c r="A71" s="10">
        <v>65</v>
      </c>
      <c r="B71" s="45"/>
      <c r="C71" s="13"/>
      <c r="D71" s="4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5">
        <f t="shared" si="1"/>
        <v>0</v>
      </c>
    </row>
    <row r="72" spans="1:17" x14ac:dyDescent="0.2">
      <c r="A72" s="10">
        <v>66</v>
      </c>
      <c r="B72" s="45"/>
      <c r="C72" s="13"/>
      <c r="D72" s="4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5">
        <f t="shared" ref="Q72:Q106" si="2">SUM(E72:P72)</f>
        <v>0</v>
      </c>
    </row>
    <row r="73" spans="1:17" x14ac:dyDescent="0.2">
      <c r="A73" s="10">
        <v>67</v>
      </c>
      <c r="B73" s="45"/>
      <c r="C73" s="13"/>
      <c r="D73" s="4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5">
        <f t="shared" si="2"/>
        <v>0</v>
      </c>
    </row>
    <row r="74" spans="1:17" x14ac:dyDescent="0.2">
      <c r="A74" s="10">
        <v>68</v>
      </c>
      <c r="B74" s="45"/>
      <c r="C74" s="13"/>
      <c r="D74" s="4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5">
        <f t="shared" si="2"/>
        <v>0</v>
      </c>
    </row>
    <row r="75" spans="1:17" x14ac:dyDescent="0.2">
      <c r="A75" s="10">
        <v>69</v>
      </c>
      <c r="B75" s="45"/>
      <c r="C75" s="13"/>
      <c r="D75" s="4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5">
        <f t="shared" si="2"/>
        <v>0</v>
      </c>
    </row>
    <row r="76" spans="1:17" x14ac:dyDescent="0.2">
      <c r="A76" s="10">
        <v>70</v>
      </c>
      <c r="B76" s="45"/>
      <c r="C76" s="13"/>
      <c r="D76" s="4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5">
        <f t="shared" si="2"/>
        <v>0</v>
      </c>
    </row>
    <row r="77" spans="1:17" x14ac:dyDescent="0.2">
      <c r="A77" s="10">
        <v>71</v>
      </c>
      <c r="B77" s="45"/>
      <c r="C77" s="13"/>
      <c r="D77" s="4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5">
        <f t="shared" si="2"/>
        <v>0</v>
      </c>
    </row>
    <row r="78" spans="1:17" x14ac:dyDescent="0.2">
      <c r="A78" s="10">
        <v>72</v>
      </c>
      <c r="B78" s="45"/>
      <c r="C78" s="13"/>
      <c r="D78" s="4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5">
        <f t="shared" si="2"/>
        <v>0</v>
      </c>
    </row>
    <row r="79" spans="1:17" x14ac:dyDescent="0.2">
      <c r="A79" s="10">
        <v>73</v>
      </c>
      <c r="B79" s="45"/>
      <c r="C79" s="13"/>
      <c r="D79" s="4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5">
        <f t="shared" si="2"/>
        <v>0</v>
      </c>
    </row>
    <row r="80" spans="1:17" x14ac:dyDescent="0.2">
      <c r="A80" s="10">
        <v>74</v>
      </c>
      <c r="B80" s="45"/>
      <c r="C80" s="13"/>
      <c r="D80" s="4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5">
        <f t="shared" si="2"/>
        <v>0</v>
      </c>
    </row>
    <row r="81" spans="1:17" x14ac:dyDescent="0.2">
      <c r="A81" s="10">
        <v>75</v>
      </c>
      <c r="B81" s="45"/>
      <c r="C81" s="13"/>
      <c r="D81" s="4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5">
        <f t="shared" si="2"/>
        <v>0</v>
      </c>
    </row>
    <row r="82" spans="1:17" x14ac:dyDescent="0.2">
      <c r="A82" s="10">
        <v>76</v>
      </c>
      <c r="B82" s="45"/>
      <c r="C82" s="13"/>
      <c r="D82" s="4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5">
        <f t="shared" si="2"/>
        <v>0</v>
      </c>
    </row>
    <row r="83" spans="1:17" x14ac:dyDescent="0.2">
      <c r="A83" s="10">
        <v>77</v>
      </c>
      <c r="B83" s="45"/>
      <c r="C83" s="13"/>
      <c r="D83" s="4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5">
        <f t="shared" si="2"/>
        <v>0</v>
      </c>
    </row>
    <row r="84" spans="1:17" x14ac:dyDescent="0.2">
      <c r="A84" s="10">
        <v>78</v>
      </c>
      <c r="B84" s="45"/>
      <c r="C84" s="13"/>
      <c r="D84" s="4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5">
        <f t="shared" si="2"/>
        <v>0</v>
      </c>
    </row>
    <row r="85" spans="1:17" x14ac:dyDescent="0.2">
      <c r="A85" s="10">
        <v>79</v>
      </c>
      <c r="B85" s="45"/>
      <c r="C85" s="13"/>
      <c r="D85" s="4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5">
        <f t="shared" si="2"/>
        <v>0</v>
      </c>
    </row>
    <row r="86" spans="1:17" x14ac:dyDescent="0.2">
      <c r="A86" s="10">
        <v>80</v>
      </c>
      <c r="B86" s="45"/>
      <c r="C86" s="13"/>
      <c r="D86" s="4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5">
        <f t="shared" si="2"/>
        <v>0</v>
      </c>
    </row>
    <row r="87" spans="1:17" x14ac:dyDescent="0.2">
      <c r="A87" s="10">
        <v>81</v>
      </c>
      <c r="B87" s="45"/>
      <c r="C87" s="13"/>
      <c r="D87" s="4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5">
        <f t="shared" si="2"/>
        <v>0</v>
      </c>
    </row>
    <row r="88" spans="1:17" x14ac:dyDescent="0.2">
      <c r="A88" s="10">
        <v>82</v>
      </c>
      <c r="B88" s="45"/>
      <c r="C88" s="13"/>
      <c r="D88" s="4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5">
        <f t="shared" si="2"/>
        <v>0</v>
      </c>
    </row>
    <row r="89" spans="1:17" x14ac:dyDescent="0.2">
      <c r="A89" s="10">
        <v>83</v>
      </c>
      <c r="B89" s="45"/>
      <c r="C89" s="13"/>
      <c r="D89" s="4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5">
        <f t="shared" si="2"/>
        <v>0</v>
      </c>
    </row>
    <row r="90" spans="1:17" x14ac:dyDescent="0.2">
      <c r="A90" s="10">
        <v>84</v>
      </c>
      <c r="B90" s="45"/>
      <c r="C90" s="13"/>
      <c r="D90" s="4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5">
        <f t="shared" si="2"/>
        <v>0</v>
      </c>
    </row>
    <row r="91" spans="1:17" x14ac:dyDescent="0.2">
      <c r="A91" s="10">
        <v>85</v>
      </c>
      <c r="B91" s="45"/>
      <c r="C91" s="13"/>
      <c r="D91" s="4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5">
        <f t="shared" si="2"/>
        <v>0</v>
      </c>
    </row>
    <row r="92" spans="1:17" x14ac:dyDescent="0.2">
      <c r="A92" s="10">
        <v>86</v>
      </c>
      <c r="B92" s="45"/>
      <c r="C92" s="13"/>
      <c r="D92" s="4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5">
        <f t="shared" si="2"/>
        <v>0</v>
      </c>
    </row>
    <row r="93" spans="1:17" x14ac:dyDescent="0.2">
      <c r="A93" s="10">
        <v>87</v>
      </c>
      <c r="B93" s="45"/>
      <c r="C93" s="13"/>
      <c r="D93" s="4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5">
        <f t="shared" si="2"/>
        <v>0</v>
      </c>
    </row>
    <row r="94" spans="1:17" x14ac:dyDescent="0.2">
      <c r="A94" s="10">
        <v>88</v>
      </c>
      <c r="B94" s="45"/>
      <c r="C94" s="13"/>
      <c r="D94" s="4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5">
        <f t="shared" si="2"/>
        <v>0</v>
      </c>
    </row>
    <row r="95" spans="1:17" x14ac:dyDescent="0.2">
      <c r="A95" s="10">
        <v>89</v>
      </c>
      <c r="B95" s="45"/>
      <c r="C95" s="13"/>
      <c r="D95" s="4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5">
        <f t="shared" si="2"/>
        <v>0</v>
      </c>
    </row>
    <row r="96" spans="1:17" x14ac:dyDescent="0.2">
      <c r="A96" s="10">
        <v>90</v>
      </c>
      <c r="B96" s="45"/>
      <c r="C96" s="13"/>
      <c r="D96" s="4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5">
        <f t="shared" si="2"/>
        <v>0</v>
      </c>
    </row>
    <row r="97" spans="1:17" x14ac:dyDescent="0.2">
      <c r="A97" s="10">
        <v>91</v>
      </c>
      <c r="B97" s="45"/>
      <c r="C97" s="13"/>
      <c r="D97" s="4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5">
        <f t="shared" si="2"/>
        <v>0</v>
      </c>
    </row>
    <row r="98" spans="1:17" x14ac:dyDescent="0.2">
      <c r="A98" s="10">
        <v>92</v>
      </c>
      <c r="B98" s="45"/>
      <c r="C98" s="13"/>
      <c r="D98" s="4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5">
        <f t="shared" si="2"/>
        <v>0</v>
      </c>
    </row>
    <row r="99" spans="1:17" x14ac:dyDescent="0.2">
      <c r="A99" s="10">
        <v>93</v>
      </c>
      <c r="B99" s="45"/>
      <c r="C99" s="13"/>
      <c r="D99" s="4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5">
        <f t="shared" si="2"/>
        <v>0</v>
      </c>
    </row>
    <row r="100" spans="1:17" x14ac:dyDescent="0.2">
      <c r="A100" s="10">
        <v>94</v>
      </c>
      <c r="B100" s="45"/>
      <c r="C100" s="13"/>
      <c r="D100" s="4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5">
        <f t="shared" si="2"/>
        <v>0</v>
      </c>
    </row>
    <row r="101" spans="1:17" x14ac:dyDescent="0.2">
      <c r="A101" s="10">
        <v>95</v>
      </c>
      <c r="B101" s="45"/>
      <c r="C101" s="13"/>
      <c r="D101" s="4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5">
        <f t="shared" si="2"/>
        <v>0</v>
      </c>
    </row>
    <row r="102" spans="1:17" x14ac:dyDescent="0.2">
      <c r="A102" s="10">
        <v>96</v>
      </c>
      <c r="B102" s="45"/>
      <c r="C102" s="13"/>
      <c r="D102" s="4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5">
        <f t="shared" si="2"/>
        <v>0</v>
      </c>
    </row>
    <row r="103" spans="1:17" x14ac:dyDescent="0.2">
      <c r="A103" s="10">
        <v>97</v>
      </c>
      <c r="B103" s="45"/>
      <c r="C103" s="13"/>
      <c r="D103" s="4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5">
        <f t="shared" si="2"/>
        <v>0</v>
      </c>
    </row>
    <row r="104" spans="1:17" x14ac:dyDescent="0.2">
      <c r="A104" s="10">
        <v>98</v>
      </c>
      <c r="B104" s="45"/>
      <c r="C104" s="13"/>
      <c r="D104" s="4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5">
        <f t="shared" si="2"/>
        <v>0</v>
      </c>
    </row>
    <row r="105" spans="1:17" x14ac:dyDescent="0.2">
      <c r="A105" s="10">
        <v>99</v>
      </c>
      <c r="B105" s="45"/>
      <c r="C105" s="13"/>
      <c r="D105" s="4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5">
        <f t="shared" si="2"/>
        <v>0</v>
      </c>
    </row>
    <row r="106" spans="1:17" x14ac:dyDescent="0.2">
      <c r="A106" s="10">
        <v>100</v>
      </c>
      <c r="B106" s="45"/>
      <c r="C106" s="13"/>
      <c r="D106" s="4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5">
        <f t="shared" si="2"/>
        <v>0</v>
      </c>
    </row>
  </sheetData>
  <mergeCells count="4">
    <mergeCell ref="E2:G2"/>
    <mergeCell ref="H2:M2"/>
    <mergeCell ref="O2:P2"/>
    <mergeCell ref="Q2:Q3"/>
  </mergeCells>
  <hyperlinks>
    <hyperlink ref="D7" r:id="rId1" xr:uid="{00000000-0004-0000-0200-000000000000}"/>
  </hyperlinks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0"/>
  <sheetViews>
    <sheetView showGridLines="0" zoomScaleNormal="100" workbookViewId="0">
      <pane ySplit="8" topLeftCell="A93" activePane="bottomLeft" state="frozen"/>
      <selection pane="bottomLeft" activeCell="A30" sqref="A30"/>
    </sheetView>
  </sheetViews>
  <sheetFormatPr defaultRowHeight="12.75" x14ac:dyDescent="0.2"/>
  <cols>
    <col min="1" max="1" width="4.625" style="1" customWidth="1"/>
    <col min="2" max="2" width="3.625" style="1" customWidth="1"/>
    <col min="3" max="3" width="31.25" style="1" customWidth="1"/>
    <col min="4" max="17" width="10.625" style="7" customWidth="1"/>
    <col min="18" max="18" width="6.625" style="7" customWidth="1"/>
    <col min="19" max="19" width="10.625" style="1" customWidth="1"/>
    <col min="20" max="16384" width="9" style="1"/>
  </cols>
  <sheetData>
    <row r="1" spans="1:19" x14ac:dyDescent="0.2">
      <c r="D1" s="15" t="s">
        <v>100</v>
      </c>
      <c r="E1" s="1"/>
      <c r="F1" s="16">
        <f>Note!$B$2</f>
        <v>2565</v>
      </c>
      <c r="G1" s="15" t="str">
        <f>Note!$B$1</f>
        <v>วิทยาลัยการอาชีพแม่สะเรียง</v>
      </c>
    </row>
    <row r="2" spans="1:19" ht="14.25" customHeight="1" x14ac:dyDescent="0.2">
      <c r="C2" s="3"/>
      <c r="D2" s="54" t="s">
        <v>13</v>
      </c>
      <c r="E2" s="54"/>
      <c r="F2" s="54"/>
      <c r="G2" s="55" t="s">
        <v>14</v>
      </c>
      <c r="H2" s="55"/>
      <c r="I2" s="55"/>
      <c r="J2" s="55"/>
      <c r="K2" s="55"/>
      <c r="L2" s="55"/>
      <c r="M2" s="17" t="s">
        <v>16</v>
      </c>
      <c r="N2" s="55" t="s">
        <v>15</v>
      </c>
      <c r="O2" s="55"/>
      <c r="P2" s="56" t="s">
        <v>10</v>
      </c>
      <c r="Q2" s="59">
        <f ca="1">NOW()</f>
        <v>46006.46555335648</v>
      </c>
      <c r="R2" s="60"/>
      <c r="S2" s="61"/>
    </row>
    <row r="3" spans="1:19" x14ac:dyDescent="0.2">
      <c r="D3" s="2" t="s">
        <v>0</v>
      </c>
      <c r="E3" s="2" t="s">
        <v>1</v>
      </c>
      <c r="F3" s="2" t="s">
        <v>2</v>
      </c>
      <c r="G3" s="2" t="s">
        <v>11</v>
      </c>
      <c r="H3" s="2" t="s">
        <v>3</v>
      </c>
      <c r="I3" s="2" t="s">
        <v>4</v>
      </c>
      <c r="J3" s="2" t="s">
        <v>6</v>
      </c>
      <c r="K3" s="2" t="s">
        <v>5</v>
      </c>
      <c r="L3" s="2" t="s">
        <v>7</v>
      </c>
      <c r="M3" s="2" t="s">
        <v>12</v>
      </c>
      <c r="N3" s="2" t="s">
        <v>8</v>
      </c>
      <c r="O3" s="2" t="s">
        <v>9</v>
      </c>
      <c r="P3" s="56"/>
      <c r="Q3" s="58" t="s">
        <v>143</v>
      </c>
      <c r="R3" s="58"/>
      <c r="S3" s="58"/>
    </row>
    <row r="4" spans="1:19" x14ac:dyDescent="0.2">
      <c r="C4" s="4" t="s">
        <v>17</v>
      </c>
      <c r="D4" s="5">
        <f>งปม.เข้า!E4</f>
        <v>1284440</v>
      </c>
      <c r="E4" s="5">
        <f>งปม.เข้า!F4</f>
        <v>316100</v>
      </c>
      <c r="F4" s="5">
        <f>งปม.เข้า!G4</f>
        <v>81600</v>
      </c>
      <c r="G4" s="5">
        <f>งปม.เข้า!H4</f>
        <v>1731550</v>
      </c>
      <c r="H4" s="5">
        <f>งปม.เข้า!I4</f>
        <v>551000</v>
      </c>
      <c r="I4" s="5">
        <f>งปม.เข้า!J4</f>
        <v>0</v>
      </c>
      <c r="J4" s="5">
        <f>งปม.เข้า!K4</f>
        <v>261725</v>
      </c>
      <c r="K4" s="5">
        <f>งปม.เข้า!L4</f>
        <v>126730</v>
      </c>
      <c r="L4" s="5">
        <f>งปม.เข้า!M4</f>
        <v>0</v>
      </c>
      <c r="M4" s="5">
        <f>งปม.เข้า!N4</f>
        <v>210600</v>
      </c>
      <c r="N4" s="5">
        <f>งปม.เข้า!O4</f>
        <v>0</v>
      </c>
      <c r="O4" s="5">
        <f>งปม.เข้า!P4</f>
        <v>0</v>
      </c>
      <c r="P4" s="5">
        <f>SUM(D4:O4)</f>
        <v>4563745</v>
      </c>
      <c r="Q4" s="48" t="s">
        <v>97</v>
      </c>
      <c r="R4" s="49" t="s">
        <v>98</v>
      </c>
      <c r="S4" s="18" t="s">
        <v>99</v>
      </c>
    </row>
    <row r="5" spans="1:19" x14ac:dyDescent="0.2">
      <c r="C5" s="4" t="s">
        <v>18</v>
      </c>
      <c r="D5" s="5">
        <f>SUM(D9:D120)</f>
        <v>19685</v>
      </c>
      <c r="E5" s="5">
        <f t="shared" ref="E5:O5" si="0">SUM(E9:E120)</f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ref="P5" si="1">SUM(D5:O5)</f>
        <v>19685</v>
      </c>
      <c r="Q5" s="49">
        <f>SUM(Q10:Q120)</f>
        <v>4317</v>
      </c>
      <c r="R5" s="50">
        <f>(100/P5)*Q5</f>
        <v>21.930403860807722</v>
      </c>
      <c r="S5" s="19">
        <f>SUM(S10:S120)</f>
        <v>15368</v>
      </c>
    </row>
    <row r="6" spans="1:19" x14ac:dyDescent="0.2">
      <c r="C6" s="4" t="s">
        <v>19</v>
      </c>
      <c r="D6" s="5">
        <f>D4-D5</f>
        <v>1264755</v>
      </c>
      <c r="E6" s="5">
        <f t="shared" ref="E6:P6" si="2">E4-E5</f>
        <v>316100</v>
      </c>
      <c r="F6" s="5">
        <f t="shared" si="2"/>
        <v>81600</v>
      </c>
      <c r="G6" s="5">
        <f t="shared" si="2"/>
        <v>1731550</v>
      </c>
      <c r="H6" s="5">
        <f t="shared" si="2"/>
        <v>551000</v>
      </c>
      <c r="I6" s="5">
        <f t="shared" si="2"/>
        <v>0</v>
      </c>
      <c r="J6" s="5">
        <f t="shared" si="2"/>
        <v>261725</v>
      </c>
      <c r="K6" s="5">
        <f t="shared" si="2"/>
        <v>126730</v>
      </c>
      <c r="L6" s="5">
        <f t="shared" si="2"/>
        <v>0</v>
      </c>
      <c r="M6" s="5">
        <f t="shared" si="2"/>
        <v>210600</v>
      </c>
      <c r="N6" s="5">
        <f t="shared" si="2"/>
        <v>0</v>
      </c>
      <c r="O6" s="5">
        <f t="shared" si="2"/>
        <v>0</v>
      </c>
      <c r="P6" s="5">
        <f t="shared" si="2"/>
        <v>4544060</v>
      </c>
      <c r="S6" s="20"/>
    </row>
    <row r="8" spans="1:19" x14ac:dyDescent="0.2">
      <c r="D8" s="2" t="s">
        <v>0</v>
      </c>
      <c r="E8" s="2" t="s">
        <v>1</v>
      </c>
      <c r="F8" s="2" t="s">
        <v>2</v>
      </c>
      <c r="G8" s="2" t="s">
        <v>11</v>
      </c>
      <c r="H8" s="2" t="s">
        <v>3</v>
      </c>
      <c r="I8" s="2" t="s">
        <v>4</v>
      </c>
      <c r="J8" s="2" t="s">
        <v>6</v>
      </c>
      <c r="K8" s="2" t="s">
        <v>5</v>
      </c>
      <c r="L8" s="2" t="s">
        <v>7</v>
      </c>
      <c r="M8" s="2" t="s">
        <v>12</v>
      </c>
      <c r="N8" s="2" t="s">
        <v>8</v>
      </c>
      <c r="O8" s="2" t="s">
        <v>9</v>
      </c>
      <c r="P8" s="2" t="s">
        <v>10</v>
      </c>
      <c r="Q8" s="2" t="s">
        <v>97</v>
      </c>
      <c r="R8" s="2" t="s">
        <v>98</v>
      </c>
      <c r="S8" s="10" t="s">
        <v>99</v>
      </c>
    </row>
    <row r="9" spans="1:19" x14ac:dyDescent="0.2">
      <c r="A9" s="21" t="s">
        <v>23</v>
      </c>
      <c r="B9" s="22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4"/>
    </row>
    <row r="10" spans="1:19" x14ac:dyDescent="0.2">
      <c r="A10" s="25">
        <f>Note!$B$2</f>
        <v>2565</v>
      </c>
      <c r="B10" s="26">
        <v>101</v>
      </c>
      <c r="C10" s="27" t="s">
        <v>24</v>
      </c>
      <c r="D10" s="5">
        <v>1000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>SUM(D10:O10)</f>
        <v>1000</v>
      </c>
      <c r="Q10" s="5">
        <f>'101'!$Q$6</f>
        <v>500</v>
      </c>
      <c r="R10" s="28">
        <f>(100/P10)*Q10</f>
        <v>50</v>
      </c>
      <c r="S10" s="29">
        <f>P10-Q10</f>
        <v>500</v>
      </c>
    </row>
    <row r="11" spans="1:19" x14ac:dyDescent="0.2">
      <c r="A11" s="25">
        <f>Note!$B$2</f>
        <v>2565</v>
      </c>
      <c r="B11" s="26">
        <v>102</v>
      </c>
      <c r="C11" s="30" t="s">
        <v>145</v>
      </c>
      <c r="D11" s="5">
        <v>1000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ref="P11:P74" si="3">SUM(D11:O11)</f>
        <v>1000</v>
      </c>
      <c r="Q11" s="5">
        <f>'102'!$Q$6</f>
        <v>250</v>
      </c>
      <c r="R11" s="28">
        <f t="shared" ref="R11:R74" si="4">(100/P11)*Q11</f>
        <v>25</v>
      </c>
      <c r="S11" s="29">
        <f t="shared" ref="S11:S74" si="5">P11-Q11</f>
        <v>750</v>
      </c>
    </row>
    <row r="12" spans="1:19" x14ac:dyDescent="0.2">
      <c r="A12" s="25">
        <f>Note!$B$2</f>
        <v>2565</v>
      </c>
      <c r="B12" s="26">
        <v>103</v>
      </c>
      <c r="C12" s="30" t="s">
        <v>146</v>
      </c>
      <c r="D12" s="5">
        <v>1010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3"/>
        <v>1010</v>
      </c>
      <c r="Q12" s="5">
        <f>'103'!$Q$6</f>
        <v>50</v>
      </c>
      <c r="R12" s="28">
        <f t="shared" si="4"/>
        <v>4.9504950495049505</v>
      </c>
      <c r="S12" s="29">
        <f t="shared" si="5"/>
        <v>960</v>
      </c>
    </row>
    <row r="13" spans="1:19" x14ac:dyDescent="0.2">
      <c r="A13" s="25">
        <f>Note!$B$2</f>
        <v>2565</v>
      </c>
      <c r="B13" s="26">
        <v>104</v>
      </c>
      <c r="C13" s="30" t="s">
        <v>147</v>
      </c>
      <c r="D13" s="5">
        <v>1000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3"/>
        <v>1000</v>
      </c>
      <c r="Q13" s="5">
        <f>'104'!$Q$6</f>
        <v>150</v>
      </c>
      <c r="R13" s="28">
        <f t="shared" si="4"/>
        <v>15</v>
      </c>
      <c r="S13" s="29">
        <f t="shared" si="5"/>
        <v>850</v>
      </c>
    </row>
    <row r="14" spans="1:19" x14ac:dyDescent="0.2">
      <c r="A14" s="25">
        <f>Note!$B$2</f>
        <v>2565</v>
      </c>
      <c r="B14" s="26">
        <v>105</v>
      </c>
      <c r="C14" s="30" t="s">
        <v>148</v>
      </c>
      <c r="D14" s="5">
        <v>1000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3"/>
        <v>1000</v>
      </c>
      <c r="Q14" s="5">
        <f>'105'!$Q$6</f>
        <v>120</v>
      </c>
      <c r="R14" s="28">
        <f t="shared" si="4"/>
        <v>12</v>
      </c>
      <c r="S14" s="29">
        <f t="shared" si="5"/>
        <v>880</v>
      </c>
    </row>
    <row r="15" spans="1:19" x14ac:dyDescent="0.2">
      <c r="A15" s="21" t="s">
        <v>25</v>
      </c>
      <c r="B15" s="31"/>
      <c r="C15" s="3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33"/>
      <c r="S15" s="34"/>
    </row>
    <row r="16" spans="1:19" x14ac:dyDescent="0.2">
      <c r="A16" s="35">
        <f>Note!$B$2</f>
        <v>2565</v>
      </c>
      <c r="B16" s="47">
        <v>201</v>
      </c>
      <c r="C16" s="30" t="s">
        <v>26</v>
      </c>
      <c r="D16" s="5">
        <v>110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3"/>
        <v>110</v>
      </c>
      <c r="Q16" s="5">
        <f>'201'!$Q$6</f>
        <v>35</v>
      </c>
      <c r="R16" s="28">
        <f t="shared" si="4"/>
        <v>31.818181818181817</v>
      </c>
      <c r="S16" s="29">
        <f t="shared" si="5"/>
        <v>75</v>
      </c>
    </row>
    <row r="17" spans="1:19" x14ac:dyDescent="0.2">
      <c r="A17" s="35">
        <f>Note!$B$2</f>
        <v>2565</v>
      </c>
      <c r="B17" s="47">
        <v>202</v>
      </c>
      <c r="C17" s="30" t="s">
        <v>27</v>
      </c>
      <c r="D17" s="5">
        <v>120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3"/>
        <v>120</v>
      </c>
      <c r="Q17" s="5">
        <f>'202'!$Q$6</f>
        <v>40</v>
      </c>
      <c r="R17" s="28">
        <f t="shared" si="4"/>
        <v>33.333333333333336</v>
      </c>
      <c r="S17" s="29">
        <f t="shared" si="5"/>
        <v>80</v>
      </c>
    </row>
    <row r="18" spans="1:19" x14ac:dyDescent="0.2">
      <c r="A18" s="35">
        <f>Note!$B$2</f>
        <v>2565</v>
      </c>
      <c r="B18" s="47">
        <v>203</v>
      </c>
      <c r="C18" s="30" t="s">
        <v>28</v>
      </c>
      <c r="D18" s="5">
        <v>130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3"/>
        <v>130</v>
      </c>
      <c r="Q18" s="5">
        <f>'203'!$Q$6</f>
        <v>32</v>
      </c>
      <c r="R18" s="28">
        <f t="shared" si="4"/>
        <v>24.615384615384617</v>
      </c>
      <c r="S18" s="29">
        <f t="shared" si="5"/>
        <v>98</v>
      </c>
    </row>
    <row r="19" spans="1:19" x14ac:dyDescent="0.2">
      <c r="A19" s="35">
        <f>Note!$B$2</f>
        <v>2565</v>
      </c>
      <c r="B19" s="47">
        <v>204</v>
      </c>
      <c r="C19" s="30" t="s">
        <v>29</v>
      </c>
      <c r="D19" s="5">
        <v>140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3"/>
        <v>140</v>
      </c>
      <c r="Q19" s="5">
        <f>'204'!$Q$6</f>
        <v>33</v>
      </c>
      <c r="R19" s="28">
        <f t="shared" si="4"/>
        <v>23.571428571428573</v>
      </c>
      <c r="S19" s="29">
        <f t="shared" si="5"/>
        <v>107</v>
      </c>
    </row>
    <row r="20" spans="1:19" x14ac:dyDescent="0.2">
      <c r="A20" s="35">
        <f>Note!$B$2</f>
        <v>2565</v>
      </c>
      <c r="B20" s="47">
        <v>205</v>
      </c>
      <c r="C20" s="30" t="s">
        <v>30</v>
      </c>
      <c r="D20" s="5">
        <v>150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3"/>
        <v>150</v>
      </c>
      <c r="Q20" s="5">
        <f>'205'!$Q$6</f>
        <v>32</v>
      </c>
      <c r="R20" s="28">
        <f t="shared" si="4"/>
        <v>21.333333333333332</v>
      </c>
      <c r="S20" s="29">
        <f t="shared" si="5"/>
        <v>118</v>
      </c>
    </row>
    <row r="21" spans="1:19" x14ac:dyDescent="0.2">
      <c r="A21" s="35">
        <f>Note!$B$2</f>
        <v>2565</v>
      </c>
      <c r="B21" s="47">
        <v>206</v>
      </c>
      <c r="C21" s="30" t="s">
        <v>31</v>
      </c>
      <c r="D21" s="5">
        <v>160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3"/>
        <v>160</v>
      </c>
      <c r="Q21" s="5">
        <f>'206'!$Q$6</f>
        <v>30</v>
      </c>
      <c r="R21" s="28">
        <f t="shared" si="4"/>
        <v>18.75</v>
      </c>
      <c r="S21" s="29">
        <f t="shared" si="5"/>
        <v>130</v>
      </c>
    </row>
    <row r="22" spans="1:19" x14ac:dyDescent="0.2">
      <c r="A22" s="35">
        <f>Note!$B$2</f>
        <v>2565</v>
      </c>
      <c r="B22" s="47">
        <v>207</v>
      </c>
      <c r="C22" s="30" t="s">
        <v>32</v>
      </c>
      <c r="D22" s="5">
        <v>170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3"/>
        <v>170</v>
      </c>
      <c r="Q22" s="5">
        <f>'207'!$Q$6</f>
        <v>70</v>
      </c>
      <c r="R22" s="28">
        <f t="shared" si="4"/>
        <v>41.176470588235297</v>
      </c>
      <c r="S22" s="29">
        <f t="shared" si="5"/>
        <v>100</v>
      </c>
    </row>
    <row r="23" spans="1:19" x14ac:dyDescent="0.2">
      <c r="A23" s="35">
        <f>Note!$B$2</f>
        <v>2565</v>
      </c>
      <c r="B23" s="47">
        <v>208</v>
      </c>
      <c r="C23" s="30" t="s">
        <v>33</v>
      </c>
      <c r="D23" s="5">
        <v>180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3"/>
        <v>180</v>
      </c>
      <c r="Q23" s="5">
        <f>'208'!$Q$6</f>
        <v>80</v>
      </c>
      <c r="R23" s="28">
        <f t="shared" si="4"/>
        <v>44.444444444444443</v>
      </c>
      <c r="S23" s="29">
        <f t="shared" si="5"/>
        <v>100</v>
      </c>
    </row>
    <row r="24" spans="1:19" x14ac:dyDescent="0.2">
      <c r="A24" s="35">
        <f>Note!$B$2</f>
        <v>2565</v>
      </c>
      <c r="B24" s="47">
        <v>209</v>
      </c>
      <c r="C24" s="30" t="s">
        <v>34</v>
      </c>
      <c r="D24" s="5">
        <v>190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3"/>
        <v>190</v>
      </c>
      <c r="Q24" s="5">
        <f>'209'!$Q$6</f>
        <v>90</v>
      </c>
      <c r="R24" s="28">
        <f t="shared" si="4"/>
        <v>47.368421052631575</v>
      </c>
      <c r="S24" s="29">
        <f t="shared" si="5"/>
        <v>100</v>
      </c>
    </row>
    <row r="25" spans="1:19" x14ac:dyDescent="0.2">
      <c r="A25" s="35">
        <f>Note!$B$2</f>
        <v>2565</v>
      </c>
      <c r="B25" s="47">
        <v>210</v>
      </c>
      <c r="C25" s="30" t="s">
        <v>145</v>
      </c>
      <c r="D25" s="5">
        <v>200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3"/>
        <v>200</v>
      </c>
      <c r="Q25" s="5">
        <f>'210'!$Q$6</f>
        <v>50</v>
      </c>
      <c r="R25" s="28">
        <f t="shared" si="4"/>
        <v>25</v>
      </c>
      <c r="S25" s="29">
        <f t="shared" si="5"/>
        <v>150</v>
      </c>
    </row>
    <row r="26" spans="1:19" x14ac:dyDescent="0.2">
      <c r="A26" s="35">
        <f>Note!$B$2</f>
        <v>2565</v>
      </c>
      <c r="B26" s="47">
        <v>211</v>
      </c>
      <c r="C26" s="30" t="s">
        <v>146</v>
      </c>
      <c r="D26" s="5">
        <v>210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3"/>
        <v>210</v>
      </c>
      <c r="Q26" s="5">
        <f>'211'!$Q$6</f>
        <v>10</v>
      </c>
      <c r="R26" s="28">
        <f t="shared" si="4"/>
        <v>4.7619047619047619</v>
      </c>
      <c r="S26" s="29">
        <f t="shared" si="5"/>
        <v>200</v>
      </c>
    </row>
    <row r="27" spans="1:19" x14ac:dyDescent="0.2">
      <c r="A27" s="35">
        <f>Note!$B$2</f>
        <v>2565</v>
      </c>
      <c r="B27" s="47">
        <v>212</v>
      </c>
      <c r="C27" s="30" t="s">
        <v>147</v>
      </c>
      <c r="D27" s="5">
        <v>220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3"/>
        <v>220</v>
      </c>
      <c r="Q27" s="5">
        <f>'212'!$Q$6</f>
        <v>20</v>
      </c>
      <c r="R27" s="28">
        <f t="shared" si="4"/>
        <v>9.0909090909090899</v>
      </c>
      <c r="S27" s="29">
        <f t="shared" si="5"/>
        <v>200</v>
      </c>
    </row>
    <row r="28" spans="1:19" x14ac:dyDescent="0.2">
      <c r="A28" s="35">
        <f>Note!$B$2</f>
        <v>2565</v>
      </c>
      <c r="B28" s="47">
        <v>213</v>
      </c>
      <c r="C28" s="30" t="s">
        <v>148</v>
      </c>
      <c r="D28" s="5">
        <v>230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3"/>
        <v>230</v>
      </c>
      <c r="Q28" s="5">
        <f>'213'!$Q$6</f>
        <v>30</v>
      </c>
      <c r="R28" s="28">
        <f t="shared" si="4"/>
        <v>13.043478260869565</v>
      </c>
      <c r="S28" s="29">
        <f t="shared" si="5"/>
        <v>200</v>
      </c>
    </row>
    <row r="29" spans="1:19" x14ac:dyDescent="0.2">
      <c r="A29" s="35">
        <f>Note!$B$2</f>
        <v>2565</v>
      </c>
      <c r="B29" s="47">
        <v>214</v>
      </c>
      <c r="C29" s="30" t="s">
        <v>149</v>
      </c>
      <c r="D29" s="5">
        <v>240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3"/>
        <v>240</v>
      </c>
      <c r="Q29" s="5">
        <f>'214'!$Q$6</f>
        <v>40</v>
      </c>
      <c r="R29" s="28">
        <f t="shared" si="4"/>
        <v>16.666666666666668</v>
      </c>
      <c r="S29" s="29">
        <f t="shared" si="5"/>
        <v>200</v>
      </c>
    </row>
    <row r="30" spans="1:19" x14ac:dyDescent="0.2">
      <c r="A30" s="21" t="s">
        <v>35</v>
      </c>
      <c r="B30" s="3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33"/>
      <c r="S30" s="34"/>
    </row>
    <row r="31" spans="1:19" x14ac:dyDescent="0.2">
      <c r="A31" s="35">
        <f>Note!$B$2</f>
        <v>2565</v>
      </c>
      <c r="B31" s="47">
        <v>301</v>
      </c>
      <c r="C31" s="30" t="s">
        <v>36</v>
      </c>
      <c r="D31" s="5">
        <v>110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3"/>
        <v>110</v>
      </c>
      <c r="Q31" s="5">
        <f>'301'!$Q$6</f>
        <v>10</v>
      </c>
      <c r="R31" s="28">
        <f t="shared" si="4"/>
        <v>9.0909090909090899</v>
      </c>
      <c r="S31" s="29">
        <f t="shared" si="5"/>
        <v>100</v>
      </c>
    </row>
    <row r="32" spans="1:19" x14ac:dyDescent="0.2">
      <c r="A32" s="35">
        <f>Note!$B$2</f>
        <v>2565</v>
      </c>
      <c r="B32" s="47">
        <v>302</v>
      </c>
      <c r="C32" s="30" t="s">
        <v>37</v>
      </c>
      <c r="D32" s="5">
        <v>120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3"/>
        <v>120</v>
      </c>
      <c r="Q32" s="5">
        <f>'302'!$Q$6</f>
        <v>20</v>
      </c>
      <c r="R32" s="28">
        <f t="shared" si="4"/>
        <v>16.666666666666668</v>
      </c>
      <c r="S32" s="29">
        <f t="shared" si="5"/>
        <v>100</v>
      </c>
    </row>
    <row r="33" spans="1:19" x14ac:dyDescent="0.2">
      <c r="A33" s="35">
        <f>Note!$B$2</f>
        <v>2565</v>
      </c>
      <c r="B33" s="47">
        <v>303</v>
      </c>
      <c r="C33" s="30" t="s">
        <v>38</v>
      </c>
      <c r="D33" s="5">
        <v>130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3"/>
        <v>130</v>
      </c>
      <c r="Q33" s="5">
        <f>'303'!$Q$6</f>
        <v>30</v>
      </c>
      <c r="R33" s="28">
        <f t="shared" si="4"/>
        <v>23.076923076923077</v>
      </c>
      <c r="S33" s="29">
        <f t="shared" si="5"/>
        <v>100</v>
      </c>
    </row>
    <row r="34" spans="1:19" x14ac:dyDescent="0.2">
      <c r="A34" s="35">
        <f>Note!$B$2</f>
        <v>2565</v>
      </c>
      <c r="B34" s="47">
        <v>304</v>
      </c>
      <c r="C34" s="30" t="s">
        <v>39</v>
      </c>
      <c r="D34" s="5">
        <v>140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3"/>
        <v>140</v>
      </c>
      <c r="Q34" s="5">
        <f>'304'!$Q$6</f>
        <v>40</v>
      </c>
      <c r="R34" s="28">
        <f t="shared" si="4"/>
        <v>28.571428571428573</v>
      </c>
      <c r="S34" s="29">
        <f t="shared" si="5"/>
        <v>100</v>
      </c>
    </row>
    <row r="35" spans="1:19" x14ac:dyDescent="0.2">
      <c r="A35" s="35">
        <f>Note!$B$2</f>
        <v>2565</v>
      </c>
      <c r="B35" s="47">
        <v>305</v>
      </c>
      <c r="C35" s="30" t="s">
        <v>40</v>
      </c>
      <c r="D35" s="5">
        <v>150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3"/>
        <v>150</v>
      </c>
      <c r="Q35" s="5">
        <f>'305'!$Q$6</f>
        <v>50</v>
      </c>
      <c r="R35" s="28">
        <f t="shared" si="4"/>
        <v>33.333333333333329</v>
      </c>
      <c r="S35" s="29">
        <f t="shared" si="5"/>
        <v>100</v>
      </c>
    </row>
    <row r="36" spans="1:19" x14ac:dyDescent="0.2">
      <c r="A36" s="35">
        <f>Note!$B$2</f>
        <v>2565</v>
      </c>
      <c r="B36" s="47">
        <v>306</v>
      </c>
      <c r="C36" s="30" t="s">
        <v>41</v>
      </c>
      <c r="D36" s="5">
        <v>160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3"/>
        <v>160</v>
      </c>
      <c r="Q36" s="5">
        <f>'306'!$Q$6</f>
        <v>60</v>
      </c>
      <c r="R36" s="28">
        <f t="shared" si="4"/>
        <v>37.5</v>
      </c>
      <c r="S36" s="29">
        <f t="shared" si="5"/>
        <v>100</v>
      </c>
    </row>
    <row r="37" spans="1:19" x14ac:dyDescent="0.2">
      <c r="A37" s="35">
        <f>Note!$B$2</f>
        <v>2565</v>
      </c>
      <c r="B37" s="47">
        <v>307</v>
      </c>
      <c r="C37" s="30" t="s">
        <v>42</v>
      </c>
      <c r="D37" s="5">
        <v>170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3"/>
        <v>170</v>
      </c>
      <c r="Q37" s="5">
        <f>'307'!$Q$6</f>
        <v>70</v>
      </c>
      <c r="R37" s="28">
        <f t="shared" si="4"/>
        <v>41.176470588235297</v>
      </c>
      <c r="S37" s="29">
        <f t="shared" si="5"/>
        <v>100</v>
      </c>
    </row>
    <row r="38" spans="1:19" x14ac:dyDescent="0.2">
      <c r="A38" s="35">
        <f>Note!$B$2</f>
        <v>2565</v>
      </c>
      <c r="B38" s="47">
        <v>308</v>
      </c>
      <c r="C38" s="30" t="s">
        <v>43</v>
      </c>
      <c r="D38" s="5">
        <v>180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3"/>
        <v>180</v>
      </c>
      <c r="Q38" s="5">
        <f>'308'!$Q$6</f>
        <v>80</v>
      </c>
      <c r="R38" s="28">
        <f t="shared" si="4"/>
        <v>44.444444444444443</v>
      </c>
      <c r="S38" s="29">
        <f t="shared" si="5"/>
        <v>100</v>
      </c>
    </row>
    <row r="39" spans="1:19" x14ac:dyDescent="0.2">
      <c r="A39" s="35">
        <f>Note!$B$2</f>
        <v>2565</v>
      </c>
      <c r="B39" s="47">
        <v>309</v>
      </c>
      <c r="C39" s="30" t="s">
        <v>44</v>
      </c>
      <c r="D39" s="5">
        <v>190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3"/>
        <v>190</v>
      </c>
      <c r="Q39" s="5">
        <f>'309'!$Q$6</f>
        <v>90</v>
      </c>
      <c r="R39" s="28">
        <f t="shared" si="4"/>
        <v>47.368421052631575</v>
      </c>
      <c r="S39" s="29">
        <f t="shared" si="5"/>
        <v>100</v>
      </c>
    </row>
    <row r="40" spans="1:19" x14ac:dyDescent="0.2">
      <c r="A40" s="35">
        <f>Note!$B$2</f>
        <v>2565</v>
      </c>
      <c r="B40" s="47">
        <v>310</v>
      </c>
      <c r="C40" s="30" t="s">
        <v>145</v>
      </c>
      <c r="D40" s="5">
        <v>200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3"/>
        <v>200</v>
      </c>
      <c r="Q40" s="5">
        <f>'310'!$Q$6</f>
        <v>50</v>
      </c>
      <c r="R40" s="28">
        <f t="shared" si="4"/>
        <v>25</v>
      </c>
      <c r="S40" s="29">
        <f t="shared" si="5"/>
        <v>150</v>
      </c>
    </row>
    <row r="41" spans="1:19" x14ac:dyDescent="0.2">
      <c r="A41" s="35">
        <f>Note!$B$2</f>
        <v>2565</v>
      </c>
      <c r="B41" s="47">
        <v>311</v>
      </c>
      <c r="C41" s="30" t="s">
        <v>146</v>
      </c>
      <c r="D41" s="5">
        <v>210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3"/>
        <v>210</v>
      </c>
      <c r="Q41" s="5">
        <f>'311'!$Q$6</f>
        <v>10</v>
      </c>
      <c r="R41" s="28">
        <f t="shared" si="4"/>
        <v>4.7619047619047619</v>
      </c>
      <c r="S41" s="29">
        <f t="shared" si="5"/>
        <v>200</v>
      </c>
    </row>
    <row r="42" spans="1:19" x14ac:dyDescent="0.2">
      <c r="A42" s="35">
        <f>Note!$B$2</f>
        <v>2565</v>
      </c>
      <c r="B42" s="47">
        <v>312</v>
      </c>
      <c r="C42" s="30" t="s">
        <v>147</v>
      </c>
      <c r="D42" s="5">
        <v>220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f t="shared" si="3"/>
        <v>220</v>
      </c>
      <c r="Q42" s="5">
        <f>'312'!$Q$6</f>
        <v>20</v>
      </c>
      <c r="R42" s="28">
        <f t="shared" si="4"/>
        <v>9.0909090909090899</v>
      </c>
      <c r="S42" s="29">
        <f t="shared" si="5"/>
        <v>200</v>
      </c>
    </row>
    <row r="43" spans="1:19" x14ac:dyDescent="0.2">
      <c r="A43" s="35">
        <f>Note!$B$2</f>
        <v>2565</v>
      </c>
      <c r="B43" s="47">
        <v>313</v>
      </c>
      <c r="C43" s="30" t="s">
        <v>148</v>
      </c>
      <c r="D43" s="5">
        <v>230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f t="shared" si="3"/>
        <v>230</v>
      </c>
      <c r="Q43" s="5">
        <f>'313'!$Q$6</f>
        <v>30</v>
      </c>
      <c r="R43" s="28">
        <f t="shared" si="4"/>
        <v>13.043478260869565</v>
      </c>
      <c r="S43" s="29">
        <f t="shared" si="5"/>
        <v>200</v>
      </c>
    </row>
    <row r="44" spans="1:19" x14ac:dyDescent="0.2">
      <c r="A44" s="35">
        <f>Note!$B$2</f>
        <v>2565</v>
      </c>
      <c r="B44" s="47">
        <v>314</v>
      </c>
      <c r="C44" s="30" t="s">
        <v>149</v>
      </c>
      <c r="D44" s="5">
        <v>240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f t="shared" si="3"/>
        <v>240</v>
      </c>
      <c r="Q44" s="5">
        <f>'314'!$Q$6</f>
        <v>40</v>
      </c>
      <c r="R44" s="28">
        <f t="shared" si="4"/>
        <v>16.666666666666668</v>
      </c>
      <c r="S44" s="29">
        <f t="shared" si="5"/>
        <v>200</v>
      </c>
    </row>
    <row r="45" spans="1:19" x14ac:dyDescent="0.2">
      <c r="A45" s="21" t="s">
        <v>45</v>
      </c>
      <c r="B45" s="31"/>
      <c r="C45" s="3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33"/>
      <c r="S45" s="34"/>
    </row>
    <row r="46" spans="1:19" x14ac:dyDescent="0.2">
      <c r="A46" s="35">
        <f>Note!$B$2</f>
        <v>2565</v>
      </c>
      <c r="B46" s="47">
        <v>401</v>
      </c>
      <c r="C46" s="30" t="s">
        <v>46</v>
      </c>
      <c r="D46" s="5">
        <v>110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f t="shared" si="3"/>
        <v>110</v>
      </c>
      <c r="Q46" s="5">
        <f>'401'!$Q$6</f>
        <v>10</v>
      </c>
      <c r="R46" s="28">
        <f t="shared" si="4"/>
        <v>9.0909090909090899</v>
      </c>
      <c r="S46" s="29">
        <f t="shared" si="5"/>
        <v>100</v>
      </c>
    </row>
    <row r="47" spans="1:19" x14ac:dyDescent="0.2">
      <c r="A47" s="35">
        <f>Note!$B$2</f>
        <v>2565</v>
      </c>
      <c r="B47" s="47">
        <v>402</v>
      </c>
      <c r="C47" s="30" t="s">
        <v>47</v>
      </c>
      <c r="D47" s="5">
        <v>120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f t="shared" si="3"/>
        <v>120</v>
      </c>
      <c r="Q47" s="5">
        <f>'402'!$Q$6</f>
        <v>20</v>
      </c>
      <c r="R47" s="28">
        <f t="shared" si="4"/>
        <v>16.666666666666668</v>
      </c>
      <c r="S47" s="29">
        <f t="shared" si="5"/>
        <v>100</v>
      </c>
    </row>
    <row r="48" spans="1:19" x14ac:dyDescent="0.2">
      <c r="A48" s="35">
        <f>Note!$B$2</f>
        <v>2565</v>
      </c>
      <c r="B48" s="47">
        <v>403</v>
      </c>
      <c r="C48" s="30" t="s">
        <v>48</v>
      </c>
      <c r="D48" s="5">
        <v>130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f t="shared" si="3"/>
        <v>130</v>
      </c>
      <c r="Q48" s="5">
        <f>'403'!$Q$6</f>
        <v>30</v>
      </c>
      <c r="R48" s="28">
        <f t="shared" si="4"/>
        <v>23.076923076923077</v>
      </c>
      <c r="S48" s="29">
        <f t="shared" si="5"/>
        <v>100</v>
      </c>
    </row>
    <row r="49" spans="1:19" x14ac:dyDescent="0.2">
      <c r="A49" s="35">
        <f>Note!$B$2</f>
        <v>2565</v>
      </c>
      <c r="B49" s="47">
        <v>404</v>
      </c>
      <c r="C49" s="30" t="s">
        <v>49</v>
      </c>
      <c r="D49" s="5">
        <v>140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f t="shared" si="3"/>
        <v>140</v>
      </c>
      <c r="Q49" s="5">
        <f>'404'!$Q$6</f>
        <v>40</v>
      </c>
      <c r="R49" s="28">
        <f t="shared" si="4"/>
        <v>28.571428571428573</v>
      </c>
      <c r="S49" s="29">
        <f t="shared" si="5"/>
        <v>100</v>
      </c>
    </row>
    <row r="50" spans="1:19" x14ac:dyDescent="0.2">
      <c r="A50" s="35">
        <f>Note!$B$2</f>
        <v>2565</v>
      </c>
      <c r="B50" s="47">
        <v>405</v>
      </c>
      <c r="C50" s="30" t="s">
        <v>50</v>
      </c>
      <c r="D50" s="5">
        <v>150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f t="shared" si="3"/>
        <v>150</v>
      </c>
      <c r="Q50" s="5">
        <f>'405'!$Q$6</f>
        <v>50</v>
      </c>
      <c r="R50" s="28">
        <f t="shared" si="4"/>
        <v>33.333333333333329</v>
      </c>
      <c r="S50" s="29">
        <f t="shared" si="5"/>
        <v>100</v>
      </c>
    </row>
    <row r="51" spans="1:19" x14ac:dyDescent="0.2">
      <c r="A51" s="35">
        <f>Note!$B$2</f>
        <v>2565</v>
      </c>
      <c r="B51" s="47">
        <v>406</v>
      </c>
      <c r="C51" s="30" t="s">
        <v>51</v>
      </c>
      <c r="D51" s="5">
        <v>160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>
        <f t="shared" si="3"/>
        <v>160</v>
      </c>
      <c r="Q51" s="5">
        <f>'406'!$Q$6</f>
        <v>60</v>
      </c>
      <c r="R51" s="28">
        <f t="shared" si="4"/>
        <v>37.5</v>
      </c>
      <c r="S51" s="29">
        <f t="shared" si="5"/>
        <v>100</v>
      </c>
    </row>
    <row r="52" spans="1:19" x14ac:dyDescent="0.2">
      <c r="A52" s="35">
        <f>Note!$B$2</f>
        <v>2565</v>
      </c>
      <c r="B52" s="47">
        <v>407</v>
      </c>
      <c r="C52" s="30" t="s">
        <v>52</v>
      </c>
      <c r="D52" s="5">
        <v>170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>
        <f t="shared" si="3"/>
        <v>170</v>
      </c>
      <c r="Q52" s="5">
        <f>'407'!$Q$6</f>
        <v>70</v>
      </c>
      <c r="R52" s="28">
        <f t="shared" si="4"/>
        <v>41.176470588235297</v>
      </c>
      <c r="S52" s="29">
        <f t="shared" si="5"/>
        <v>100</v>
      </c>
    </row>
    <row r="53" spans="1:19" x14ac:dyDescent="0.2">
      <c r="A53" s="35">
        <f>Note!$B$2</f>
        <v>2565</v>
      </c>
      <c r="B53" s="47">
        <v>408</v>
      </c>
      <c r="C53" s="30" t="s">
        <v>53</v>
      </c>
      <c r="D53" s="5">
        <v>180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f t="shared" si="3"/>
        <v>180</v>
      </c>
      <c r="Q53" s="5">
        <f>'408'!$Q$6</f>
        <v>80</v>
      </c>
      <c r="R53" s="28">
        <f t="shared" si="4"/>
        <v>44.444444444444443</v>
      </c>
      <c r="S53" s="29">
        <f t="shared" si="5"/>
        <v>100</v>
      </c>
    </row>
    <row r="54" spans="1:19" x14ac:dyDescent="0.2">
      <c r="A54" s="35">
        <f>Note!$B$2</f>
        <v>2565</v>
      </c>
      <c r="B54" s="47">
        <v>409</v>
      </c>
      <c r="C54" s="30" t="s">
        <v>54</v>
      </c>
      <c r="D54" s="5">
        <v>190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f t="shared" si="3"/>
        <v>190</v>
      </c>
      <c r="Q54" s="5">
        <f>'409'!$Q$6</f>
        <v>90</v>
      </c>
      <c r="R54" s="28">
        <f t="shared" si="4"/>
        <v>47.368421052631575</v>
      </c>
      <c r="S54" s="29">
        <f t="shared" si="5"/>
        <v>100</v>
      </c>
    </row>
    <row r="55" spans="1:19" x14ac:dyDescent="0.2">
      <c r="A55" s="35">
        <f>Note!$B$2</f>
        <v>2565</v>
      </c>
      <c r="B55" s="47">
        <v>410</v>
      </c>
      <c r="C55" s="30" t="s">
        <v>55</v>
      </c>
      <c r="D55" s="5">
        <v>200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f t="shared" si="3"/>
        <v>200</v>
      </c>
      <c r="Q55" s="5">
        <f>'410'!$Q$6</f>
        <v>100</v>
      </c>
      <c r="R55" s="28">
        <f t="shared" si="4"/>
        <v>50</v>
      </c>
      <c r="S55" s="29">
        <f t="shared" si="5"/>
        <v>100</v>
      </c>
    </row>
    <row r="56" spans="1:19" x14ac:dyDescent="0.2">
      <c r="A56" s="35">
        <f>Note!$B$2</f>
        <v>2565</v>
      </c>
      <c r="B56" s="47">
        <v>411</v>
      </c>
      <c r="C56" s="30" t="s">
        <v>56</v>
      </c>
      <c r="D56" s="5">
        <v>210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f t="shared" si="3"/>
        <v>210</v>
      </c>
      <c r="Q56" s="5">
        <f>'411'!$Q$6</f>
        <v>10</v>
      </c>
      <c r="R56" s="28">
        <f t="shared" si="4"/>
        <v>4.7619047619047619</v>
      </c>
      <c r="S56" s="29">
        <f t="shared" si="5"/>
        <v>200</v>
      </c>
    </row>
    <row r="57" spans="1:19" x14ac:dyDescent="0.2">
      <c r="A57" s="35">
        <f>Note!$B$2</f>
        <v>2565</v>
      </c>
      <c r="B57" s="47">
        <v>412</v>
      </c>
      <c r="C57" s="30" t="s">
        <v>57</v>
      </c>
      <c r="D57" s="5">
        <v>220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f t="shared" si="3"/>
        <v>220</v>
      </c>
      <c r="Q57" s="5">
        <f>'412'!$Q$6</f>
        <v>20</v>
      </c>
      <c r="R57" s="28">
        <f t="shared" si="4"/>
        <v>9.0909090909090899</v>
      </c>
      <c r="S57" s="29">
        <f t="shared" si="5"/>
        <v>200</v>
      </c>
    </row>
    <row r="58" spans="1:19" x14ac:dyDescent="0.2">
      <c r="A58" s="35">
        <f>Note!$B$2</f>
        <v>2565</v>
      </c>
      <c r="B58" s="47">
        <v>413</v>
      </c>
      <c r="C58" s="30" t="s">
        <v>145</v>
      </c>
      <c r="D58" s="5">
        <v>230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f t="shared" si="3"/>
        <v>230</v>
      </c>
      <c r="Q58" s="5">
        <f>'413'!$Q$6</f>
        <v>30</v>
      </c>
      <c r="R58" s="28">
        <f t="shared" si="4"/>
        <v>13.043478260869565</v>
      </c>
      <c r="S58" s="29">
        <f t="shared" si="5"/>
        <v>200</v>
      </c>
    </row>
    <row r="59" spans="1:19" x14ac:dyDescent="0.2">
      <c r="A59" s="35">
        <f>Note!$B$2</f>
        <v>2565</v>
      </c>
      <c r="B59" s="47">
        <v>414</v>
      </c>
      <c r="C59" s="30" t="s">
        <v>146</v>
      </c>
      <c r="D59" s="5">
        <v>240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f t="shared" si="3"/>
        <v>240</v>
      </c>
      <c r="Q59" s="5">
        <f>'414'!$Q$6</f>
        <v>40</v>
      </c>
      <c r="R59" s="28">
        <f t="shared" si="4"/>
        <v>16.666666666666668</v>
      </c>
      <c r="S59" s="29">
        <f t="shared" si="5"/>
        <v>200</v>
      </c>
    </row>
    <row r="60" spans="1:19" x14ac:dyDescent="0.2">
      <c r="A60" s="35">
        <f>Note!$B$2</f>
        <v>2565</v>
      </c>
      <c r="B60" s="47">
        <v>415</v>
      </c>
      <c r="C60" s="30" t="s">
        <v>147</v>
      </c>
      <c r="D60" s="5">
        <v>250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f t="shared" si="3"/>
        <v>250</v>
      </c>
      <c r="Q60" s="5">
        <f>'415'!$Q$6</f>
        <v>50</v>
      </c>
      <c r="R60" s="28">
        <f t="shared" si="4"/>
        <v>20</v>
      </c>
      <c r="S60" s="29">
        <f t="shared" si="5"/>
        <v>200</v>
      </c>
    </row>
    <row r="61" spans="1:19" x14ac:dyDescent="0.2">
      <c r="A61" s="35">
        <f>Note!$B$2</f>
        <v>2565</v>
      </c>
      <c r="B61" s="47">
        <v>416</v>
      </c>
      <c r="C61" s="30" t="s">
        <v>148</v>
      </c>
      <c r="D61" s="5">
        <v>260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f t="shared" si="3"/>
        <v>260</v>
      </c>
      <c r="Q61" s="5">
        <f>'416'!$Q$6</f>
        <v>60</v>
      </c>
      <c r="R61" s="28">
        <f t="shared" si="4"/>
        <v>23.076923076923077</v>
      </c>
      <c r="S61" s="29">
        <f t="shared" si="5"/>
        <v>200</v>
      </c>
    </row>
    <row r="62" spans="1:19" x14ac:dyDescent="0.2">
      <c r="A62" s="35">
        <f>Note!$B$2</f>
        <v>2565</v>
      </c>
      <c r="B62" s="47">
        <v>417</v>
      </c>
      <c r="C62" s="30" t="s">
        <v>150</v>
      </c>
      <c r="D62" s="5">
        <v>270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f t="shared" si="3"/>
        <v>270</v>
      </c>
      <c r="Q62" s="5">
        <f>'417'!$Q$6</f>
        <v>70</v>
      </c>
      <c r="R62" s="28">
        <f t="shared" si="4"/>
        <v>25.925925925925924</v>
      </c>
      <c r="S62" s="29">
        <f t="shared" si="5"/>
        <v>200</v>
      </c>
    </row>
    <row r="63" spans="1:19" x14ac:dyDescent="0.2">
      <c r="A63" s="21" t="s">
        <v>58</v>
      </c>
      <c r="B63" s="31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33"/>
      <c r="S63" s="34"/>
    </row>
    <row r="64" spans="1:19" x14ac:dyDescent="0.2">
      <c r="A64" s="35">
        <f>Note!$B$2</f>
        <v>2565</v>
      </c>
      <c r="B64" s="47">
        <v>501</v>
      </c>
      <c r="C64" s="30" t="s">
        <v>59</v>
      </c>
      <c r="D64" s="5">
        <v>110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f t="shared" si="3"/>
        <v>110</v>
      </c>
      <c r="Q64" s="5">
        <f>'501'!$Q$6</f>
        <v>10</v>
      </c>
      <c r="R64" s="28">
        <f t="shared" si="4"/>
        <v>9.0909090909090899</v>
      </c>
      <c r="S64" s="29">
        <f t="shared" si="5"/>
        <v>100</v>
      </c>
    </row>
    <row r="65" spans="1:19" x14ac:dyDescent="0.2">
      <c r="A65" s="35">
        <f>Note!$B$2</f>
        <v>2565</v>
      </c>
      <c r="B65" s="47">
        <v>502</v>
      </c>
      <c r="C65" s="30" t="s">
        <v>60</v>
      </c>
      <c r="D65" s="5">
        <v>120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f t="shared" si="3"/>
        <v>120</v>
      </c>
      <c r="Q65" s="5">
        <f>'502'!$Q$6</f>
        <v>20</v>
      </c>
      <c r="R65" s="28">
        <f t="shared" si="4"/>
        <v>16.666666666666668</v>
      </c>
      <c r="S65" s="29">
        <f t="shared" si="5"/>
        <v>100</v>
      </c>
    </row>
    <row r="66" spans="1:19" x14ac:dyDescent="0.2">
      <c r="A66" s="35">
        <f>Note!$B$2</f>
        <v>2565</v>
      </c>
      <c r="B66" s="47">
        <v>503</v>
      </c>
      <c r="C66" s="30" t="s">
        <v>61</v>
      </c>
      <c r="D66" s="5">
        <v>130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>
        <f t="shared" si="3"/>
        <v>130</v>
      </c>
      <c r="Q66" s="5">
        <f>'503'!$Q$6</f>
        <v>30</v>
      </c>
      <c r="R66" s="28">
        <f t="shared" si="4"/>
        <v>23.076923076923077</v>
      </c>
      <c r="S66" s="29">
        <f t="shared" si="5"/>
        <v>100</v>
      </c>
    </row>
    <row r="67" spans="1:19" x14ac:dyDescent="0.2">
      <c r="A67" s="35">
        <f>Note!$B$2</f>
        <v>2565</v>
      </c>
      <c r="B67" s="47">
        <v>504</v>
      </c>
      <c r="C67" s="30" t="s">
        <v>62</v>
      </c>
      <c r="D67" s="5">
        <v>140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>
        <f t="shared" si="3"/>
        <v>140</v>
      </c>
      <c r="Q67" s="5">
        <f>'504'!$Q$6</f>
        <v>40</v>
      </c>
      <c r="R67" s="28">
        <f t="shared" si="4"/>
        <v>28.571428571428573</v>
      </c>
      <c r="S67" s="29">
        <f t="shared" si="5"/>
        <v>100</v>
      </c>
    </row>
    <row r="68" spans="1:19" x14ac:dyDescent="0.2">
      <c r="A68" s="35">
        <f>Note!$B$2</f>
        <v>2565</v>
      </c>
      <c r="B68" s="47">
        <v>505</v>
      </c>
      <c r="C68" s="30" t="s">
        <v>63</v>
      </c>
      <c r="D68" s="5">
        <v>150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f t="shared" si="3"/>
        <v>150</v>
      </c>
      <c r="Q68" s="5">
        <f>'505'!$Q$6</f>
        <v>50</v>
      </c>
      <c r="R68" s="28">
        <f t="shared" si="4"/>
        <v>33.333333333333329</v>
      </c>
      <c r="S68" s="29">
        <f t="shared" si="5"/>
        <v>100</v>
      </c>
    </row>
    <row r="69" spans="1:19" x14ac:dyDescent="0.2">
      <c r="A69" s="35">
        <f>Note!$B$2</f>
        <v>2565</v>
      </c>
      <c r="B69" s="47">
        <v>506</v>
      </c>
      <c r="C69" s="30" t="s">
        <v>145</v>
      </c>
      <c r="D69" s="5">
        <v>160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f t="shared" si="3"/>
        <v>160</v>
      </c>
      <c r="Q69" s="5">
        <f>'506'!$Q$6</f>
        <v>60</v>
      </c>
      <c r="R69" s="28">
        <f t="shared" si="4"/>
        <v>37.5</v>
      </c>
      <c r="S69" s="29">
        <f t="shared" si="5"/>
        <v>100</v>
      </c>
    </row>
    <row r="70" spans="1:19" x14ac:dyDescent="0.2">
      <c r="A70" s="35">
        <f>Note!$B$2</f>
        <v>2565</v>
      </c>
      <c r="B70" s="47">
        <v>507</v>
      </c>
      <c r="C70" s="30" t="s">
        <v>146</v>
      </c>
      <c r="D70" s="5">
        <v>170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>
        <f t="shared" si="3"/>
        <v>170</v>
      </c>
      <c r="Q70" s="5">
        <f>'507'!$Q$6</f>
        <v>70</v>
      </c>
      <c r="R70" s="28">
        <f t="shared" si="4"/>
        <v>41.176470588235297</v>
      </c>
      <c r="S70" s="29">
        <f t="shared" si="5"/>
        <v>100</v>
      </c>
    </row>
    <row r="71" spans="1:19" x14ac:dyDescent="0.2">
      <c r="A71" s="35">
        <f>Note!$B$2</f>
        <v>2565</v>
      </c>
      <c r="B71" s="47">
        <v>508</v>
      </c>
      <c r="C71" s="30" t="s">
        <v>147</v>
      </c>
      <c r="D71" s="5">
        <v>180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f t="shared" si="3"/>
        <v>180</v>
      </c>
      <c r="Q71" s="5">
        <f>'508'!$Q$6</f>
        <v>80</v>
      </c>
      <c r="R71" s="28">
        <f t="shared" si="4"/>
        <v>44.444444444444443</v>
      </c>
      <c r="S71" s="29">
        <f t="shared" si="5"/>
        <v>100</v>
      </c>
    </row>
    <row r="72" spans="1:19" x14ac:dyDescent="0.2">
      <c r="A72" s="21" t="s">
        <v>82</v>
      </c>
      <c r="B72" s="31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33"/>
      <c r="S72" s="34"/>
    </row>
    <row r="73" spans="1:19" x14ac:dyDescent="0.2">
      <c r="A73" s="35">
        <f>Note!$B$2</f>
        <v>2565</v>
      </c>
      <c r="B73" s="47">
        <v>601</v>
      </c>
      <c r="C73" s="30" t="s">
        <v>83</v>
      </c>
      <c r="D73" s="5">
        <v>110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f t="shared" si="3"/>
        <v>110</v>
      </c>
      <c r="Q73" s="5">
        <f>'601'!$Q$6</f>
        <v>10</v>
      </c>
      <c r="R73" s="28">
        <f t="shared" si="4"/>
        <v>9.0909090909090899</v>
      </c>
      <c r="S73" s="29">
        <f t="shared" si="5"/>
        <v>100</v>
      </c>
    </row>
    <row r="74" spans="1:19" x14ac:dyDescent="0.2">
      <c r="A74" s="35">
        <f>Note!$B$2</f>
        <v>2565</v>
      </c>
      <c r="B74" s="47">
        <v>602</v>
      </c>
      <c r="C74" s="30" t="s">
        <v>84</v>
      </c>
      <c r="D74" s="5">
        <v>115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f t="shared" si="3"/>
        <v>115</v>
      </c>
      <c r="Q74" s="5">
        <f>'602'!$Q$6</f>
        <v>15</v>
      </c>
      <c r="R74" s="28">
        <f t="shared" si="4"/>
        <v>13.043478260869565</v>
      </c>
      <c r="S74" s="29">
        <f t="shared" si="5"/>
        <v>100</v>
      </c>
    </row>
    <row r="75" spans="1:19" x14ac:dyDescent="0.2">
      <c r="A75" s="35">
        <f>Note!$B$2</f>
        <v>2565</v>
      </c>
      <c r="B75" s="47">
        <v>603</v>
      </c>
      <c r="C75" s="30" t="s">
        <v>85</v>
      </c>
      <c r="D75" s="5">
        <v>120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f t="shared" ref="P75:P120" si="6">SUM(D75:O75)</f>
        <v>120</v>
      </c>
      <c r="Q75" s="5">
        <f>'603'!$Q$6</f>
        <v>20</v>
      </c>
      <c r="R75" s="28">
        <f t="shared" ref="R75:R120" si="7">(100/P75)*Q75</f>
        <v>16.666666666666668</v>
      </c>
      <c r="S75" s="29">
        <f t="shared" ref="S75:S120" si="8">P75-Q75</f>
        <v>100</v>
      </c>
    </row>
    <row r="76" spans="1:19" x14ac:dyDescent="0.2">
      <c r="A76" s="35">
        <f>Note!$B$2</f>
        <v>2565</v>
      </c>
      <c r="B76" s="47">
        <v>604</v>
      </c>
      <c r="C76" s="30" t="s">
        <v>64</v>
      </c>
      <c r="D76" s="5">
        <v>125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f t="shared" si="6"/>
        <v>125</v>
      </c>
      <c r="Q76" s="5">
        <f>'604'!$Q$6</f>
        <v>25</v>
      </c>
      <c r="R76" s="28">
        <f t="shared" si="7"/>
        <v>20</v>
      </c>
      <c r="S76" s="29">
        <f t="shared" si="8"/>
        <v>100</v>
      </c>
    </row>
    <row r="77" spans="1:19" x14ac:dyDescent="0.2">
      <c r="A77" s="35">
        <f>Note!$B$2</f>
        <v>2565</v>
      </c>
      <c r="B77" s="47">
        <v>605</v>
      </c>
      <c r="C77" s="30" t="s">
        <v>65</v>
      </c>
      <c r="D77" s="5">
        <v>130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f t="shared" si="6"/>
        <v>130</v>
      </c>
      <c r="Q77" s="5">
        <f>'605'!$Q$6</f>
        <v>30</v>
      </c>
      <c r="R77" s="28">
        <f t="shared" si="7"/>
        <v>23.076923076923077</v>
      </c>
      <c r="S77" s="29">
        <f t="shared" si="8"/>
        <v>100</v>
      </c>
    </row>
    <row r="78" spans="1:19" x14ac:dyDescent="0.2">
      <c r="A78" s="35">
        <f>Note!$B$2</f>
        <v>2565</v>
      </c>
      <c r="B78" s="47">
        <v>606</v>
      </c>
      <c r="C78" s="30" t="s">
        <v>145</v>
      </c>
      <c r="D78" s="5">
        <v>135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f t="shared" si="6"/>
        <v>135</v>
      </c>
      <c r="Q78" s="5">
        <f>'606'!$Q$6</f>
        <v>35</v>
      </c>
      <c r="R78" s="28">
        <f t="shared" si="7"/>
        <v>25.925925925925924</v>
      </c>
      <c r="S78" s="29">
        <f t="shared" si="8"/>
        <v>100</v>
      </c>
    </row>
    <row r="79" spans="1:19" x14ac:dyDescent="0.2">
      <c r="A79" s="35">
        <f>Note!$B$2</f>
        <v>2565</v>
      </c>
      <c r="B79" s="47">
        <v>607</v>
      </c>
      <c r="C79" s="30" t="s">
        <v>146</v>
      </c>
      <c r="D79" s="5">
        <v>140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f t="shared" si="6"/>
        <v>140</v>
      </c>
      <c r="Q79" s="5">
        <f>'607'!$Q$6</f>
        <v>40</v>
      </c>
      <c r="R79" s="28">
        <f t="shared" si="7"/>
        <v>28.571428571428573</v>
      </c>
      <c r="S79" s="29">
        <f t="shared" si="8"/>
        <v>100</v>
      </c>
    </row>
    <row r="80" spans="1:19" x14ac:dyDescent="0.2">
      <c r="A80" s="35">
        <f>Note!$B$2</f>
        <v>2565</v>
      </c>
      <c r="B80" s="47">
        <v>608</v>
      </c>
      <c r="C80" s="30" t="s">
        <v>147</v>
      </c>
      <c r="D80" s="5">
        <v>145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f t="shared" si="6"/>
        <v>145</v>
      </c>
      <c r="Q80" s="5">
        <f>'608'!$Q$6</f>
        <v>45</v>
      </c>
      <c r="R80" s="28">
        <f t="shared" si="7"/>
        <v>31.03448275862069</v>
      </c>
      <c r="S80" s="29">
        <f t="shared" si="8"/>
        <v>100</v>
      </c>
    </row>
    <row r="81" spans="1:19" x14ac:dyDescent="0.2">
      <c r="A81" s="35">
        <f>Note!$B$2</f>
        <v>2565</v>
      </c>
      <c r="B81" s="47">
        <v>609</v>
      </c>
      <c r="C81" s="30" t="s">
        <v>148</v>
      </c>
      <c r="D81" s="5">
        <v>150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>
        <f t="shared" si="6"/>
        <v>150</v>
      </c>
      <c r="Q81" s="5">
        <f>'609'!$Q$6</f>
        <v>50</v>
      </c>
      <c r="R81" s="28">
        <f t="shared" si="7"/>
        <v>33.333333333333329</v>
      </c>
      <c r="S81" s="29">
        <f t="shared" si="8"/>
        <v>100</v>
      </c>
    </row>
    <row r="82" spans="1:19" x14ac:dyDescent="0.2">
      <c r="A82" s="35">
        <f>Note!$B$2</f>
        <v>2565</v>
      </c>
      <c r="B82" s="47">
        <v>610</v>
      </c>
      <c r="C82" s="30" t="s">
        <v>149</v>
      </c>
      <c r="D82" s="5">
        <v>155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f t="shared" si="6"/>
        <v>155</v>
      </c>
      <c r="Q82" s="5">
        <f>'610'!$Q$6</f>
        <v>55</v>
      </c>
      <c r="R82" s="28">
        <f t="shared" si="7"/>
        <v>35.483870967741936</v>
      </c>
      <c r="S82" s="29">
        <f t="shared" si="8"/>
        <v>100</v>
      </c>
    </row>
    <row r="83" spans="1:19" x14ac:dyDescent="0.2">
      <c r="A83" s="21" t="s">
        <v>66</v>
      </c>
      <c r="B83" s="31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33"/>
      <c r="S83" s="34"/>
    </row>
    <row r="84" spans="1:19" x14ac:dyDescent="0.2">
      <c r="A84" s="35">
        <f>Note!$B$2</f>
        <v>2565</v>
      </c>
      <c r="B84" s="47">
        <v>701</v>
      </c>
      <c r="C84" s="30" t="s">
        <v>145</v>
      </c>
      <c r="D84" s="5">
        <v>105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f t="shared" si="6"/>
        <v>105</v>
      </c>
      <c r="Q84" s="5">
        <f>'701'!$Q$6</f>
        <v>5</v>
      </c>
      <c r="R84" s="28">
        <f t="shared" si="7"/>
        <v>4.7619047619047619</v>
      </c>
      <c r="S84" s="29">
        <f t="shared" si="8"/>
        <v>100</v>
      </c>
    </row>
    <row r="85" spans="1:19" x14ac:dyDescent="0.2">
      <c r="A85" s="35">
        <f>Note!$B$2</f>
        <v>2565</v>
      </c>
      <c r="B85" s="47">
        <v>702</v>
      </c>
      <c r="C85" s="30" t="s">
        <v>146</v>
      </c>
      <c r="D85" s="5">
        <v>110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f t="shared" si="6"/>
        <v>110</v>
      </c>
      <c r="Q85" s="5">
        <f>'702'!$Q$6</f>
        <v>10</v>
      </c>
      <c r="R85" s="28">
        <f t="shared" si="7"/>
        <v>9.0909090909090899</v>
      </c>
      <c r="S85" s="29">
        <f t="shared" si="8"/>
        <v>100</v>
      </c>
    </row>
    <row r="86" spans="1:19" x14ac:dyDescent="0.2">
      <c r="A86" s="35">
        <f>Note!$B$2</f>
        <v>2565</v>
      </c>
      <c r="B86" s="47">
        <v>703</v>
      </c>
      <c r="C86" s="30" t="s">
        <v>147</v>
      </c>
      <c r="D86" s="5">
        <v>115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f t="shared" si="6"/>
        <v>115</v>
      </c>
      <c r="Q86" s="5">
        <f>'703'!$Q$6</f>
        <v>15</v>
      </c>
      <c r="R86" s="28">
        <f t="shared" si="7"/>
        <v>13.043478260869565</v>
      </c>
      <c r="S86" s="29">
        <f t="shared" si="8"/>
        <v>100</v>
      </c>
    </row>
    <row r="87" spans="1:19" x14ac:dyDescent="0.2">
      <c r="A87" s="35">
        <f>Note!$B$2</f>
        <v>2565</v>
      </c>
      <c r="B87" s="47">
        <v>704</v>
      </c>
      <c r="C87" s="30" t="s">
        <v>148</v>
      </c>
      <c r="D87" s="5">
        <v>120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f t="shared" si="6"/>
        <v>120</v>
      </c>
      <c r="Q87" s="5">
        <f>'704'!$Q$6</f>
        <v>20</v>
      </c>
      <c r="R87" s="28">
        <f t="shared" si="7"/>
        <v>16.666666666666668</v>
      </c>
      <c r="S87" s="29">
        <f t="shared" si="8"/>
        <v>100</v>
      </c>
    </row>
    <row r="88" spans="1:19" x14ac:dyDescent="0.2">
      <c r="A88" s="35">
        <f>Note!$B$2</f>
        <v>2565</v>
      </c>
      <c r="B88" s="47">
        <v>705</v>
      </c>
      <c r="C88" s="30" t="s">
        <v>149</v>
      </c>
      <c r="D88" s="5">
        <v>125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f t="shared" si="6"/>
        <v>125</v>
      </c>
      <c r="Q88" s="5">
        <f>'705'!$Q$6</f>
        <v>25</v>
      </c>
      <c r="R88" s="28">
        <f t="shared" si="7"/>
        <v>20</v>
      </c>
      <c r="S88" s="29">
        <f t="shared" si="8"/>
        <v>100</v>
      </c>
    </row>
    <row r="89" spans="1:19" x14ac:dyDescent="0.2">
      <c r="A89" s="38" t="s">
        <v>86</v>
      </c>
      <c r="B89" s="22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33"/>
      <c r="S89" s="34"/>
    </row>
    <row r="90" spans="1:19" x14ac:dyDescent="0.2">
      <c r="A90" s="25">
        <f>Note!$B$2</f>
        <v>2565</v>
      </c>
      <c r="B90" s="47">
        <v>801</v>
      </c>
      <c r="C90" s="27" t="s">
        <v>67</v>
      </c>
      <c r="D90" s="5">
        <v>105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f t="shared" si="6"/>
        <v>105</v>
      </c>
      <c r="Q90" s="5">
        <f>'801'!$Q$6</f>
        <v>5</v>
      </c>
      <c r="R90" s="28">
        <f t="shared" si="7"/>
        <v>4.7619047619047619</v>
      </c>
      <c r="S90" s="29">
        <f t="shared" si="8"/>
        <v>100</v>
      </c>
    </row>
    <row r="91" spans="1:19" x14ac:dyDescent="0.2">
      <c r="A91" s="25">
        <f>Note!$B$2</f>
        <v>2565</v>
      </c>
      <c r="B91" s="47">
        <v>802</v>
      </c>
      <c r="C91" s="30" t="s">
        <v>68</v>
      </c>
      <c r="D91" s="5">
        <v>110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f t="shared" si="6"/>
        <v>110</v>
      </c>
      <c r="Q91" s="5">
        <f>'802'!$Q$6</f>
        <v>10</v>
      </c>
      <c r="R91" s="28">
        <f t="shared" si="7"/>
        <v>9.0909090909090899</v>
      </c>
      <c r="S91" s="29">
        <f t="shared" si="8"/>
        <v>100</v>
      </c>
    </row>
    <row r="92" spans="1:19" x14ac:dyDescent="0.2">
      <c r="A92" s="25">
        <f>Note!$B$2</f>
        <v>2565</v>
      </c>
      <c r="B92" s="47">
        <v>803</v>
      </c>
      <c r="C92" s="30" t="s">
        <v>69</v>
      </c>
      <c r="D92" s="5">
        <v>115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f t="shared" si="6"/>
        <v>115</v>
      </c>
      <c r="Q92" s="5">
        <f>'803'!$Q$6</f>
        <v>15</v>
      </c>
      <c r="R92" s="28">
        <f t="shared" si="7"/>
        <v>13.043478260869565</v>
      </c>
      <c r="S92" s="29">
        <f t="shared" si="8"/>
        <v>100</v>
      </c>
    </row>
    <row r="93" spans="1:19" x14ac:dyDescent="0.2">
      <c r="A93" s="25">
        <f>Note!$B$2</f>
        <v>2565</v>
      </c>
      <c r="B93" s="47">
        <v>804</v>
      </c>
      <c r="C93" s="30" t="s">
        <v>70</v>
      </c>
      <c r="D93" s="5">
        <v>120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f t="shared" si="6"/>
        <v>120</v>
      </c>
      <c r="Q93" s="5">
        <f>'804'!$Q$6</f>
        <v>20</v>
      </c>
      <c r="R93" s="28">
        <f t="shared" si="7"/>
        <v>16.666666666666668</v>
      </c>
      <c r="S93" s="29">
        <f t="shared" si="8"/>
        <v>100</v>
      </c>
    </row>
    <row r="94" spans="1:19" x14ac:dyDescent="0.2">
      <c r="A94" s="25">
        <f>Note!$B$2</f>
        <v>2565</v>
      </c>
      <c r="B94" s="47">
        <v>805</v>
      </c>
      <c r="C94" s="30" t="s">
        <v>71</v>
      </c>
      <c r="D94" s="5">
        <v>125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f t="shared" si="6"/>
        <v>125</v>
      </c>
      <c r="Q94" s="5">
        <f>'805'!$Q$6</f>
        <v>25</v>
      </c>
      <c r="R94" s="28">
        <f t="shared" si="7"/>
        <v>20</v>
      </c>
      <c r="S94" s="29">
        <f t="shared" si="8"/>
        <v>100</v>
      </c>
    </row>
    <row r="95" spans="1:19" x14ac:dyDescent="0.2">
      <c r="A95" s="25">
        <f>Note!$B$2</f>
        <v>2565</v>
      </c>
      <c r="B95" s="47">
        <v>806</v>
      </c>
      <c r="C95" s="30" t="s">
        <v>145</v>
      </c>
      <c r="D95" s="5">
        <v>130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f t="shared" si="6"/>
        <v>130</v>
      </c>
      <c r="Q95" s="5">
        <f>'806'!$Q$6</f>
        <v>30</v>
      </c>
      <c r="R95" s="28">
        <f t="shared" si="7"/>
        <v>23.076923076923077</v>
      </c>
      <c r="S95" s="29">
        <f t="shared" si="8"/>
        <v>100</v>
      </c>
    </row>
    <row r="96" spans="1:19" x14ac:dyDescent="0.2">
      <c r="A96" s="25">
        <f>Note!$B$2</f>
        <v>2565</v>
      </c>
      <c r="B96" s="47">
        <v>807</v>
      </c>
      <c r="C96" s="30" t="s">
        <v>146</v>
      </c>
      <c r="D96" s="5">
        <v>135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f t="shared" si="6"/>
        <v>135</v>
      </c>
      <c r="Q96" s="5">
        <f>'807'!$Q$6</f>
        <v>35</v>
      </c>
      <c r="R96" s="28">
        <f t="shared" si="7"/>
        <v>25.925925925925924</v>
      </c>
      <c r="S96" s="29">
        <f t="shared" si="8"/>
        <v>100</v>
      </c>
    </row>
    <row r="97" spans="1:19" x14ac:dyDescent="0.2">
      <c r="A97" s="25">
        <f>Note!$B$2</f>
        <v>2565</v>
      </c>
      <c r="B97" s="47">
        <v>808</v>
      </c>
      <c r="C97" s="30" t="s">
        <v>147</v>
      </c>
      <c r="D97" s="5">
        <v>140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f t="shared" si="6"/>
        <v>140</v>
      </c>
      <c r="Q97" s="5">
        <f>'808'!$Q$6</f>
        <v>40</v>
      </c>
      <c r="R97" s="28">
        <f t="shared" si="7"/>
        <v>28.571428571428573</v>
      </c>
      <c r="S97" s="29">
        <f t="shared" si="8"/>
        <v>100</v>
      </c>
    </row>
    <row r="98" spans="1:19" x14ac:dyDescent="0.2">
      <c r="A98" s="25">
        <f>Note!$B$2</f>
        <v>2565</v>
      </c>
      <c r="B98" s="47">
        <v>809</v>
      </c>
      <c r="C98" s="30" t="s">
        <v>148</v>
      </c>
      <c r="D98" s="5">
        <v>145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f t="shared" si="6"/>
        <v>145</v>
      </c>
      <c r="Q98" s="5">
        <f>'809'!$Q$6</f>
        <v>25</v>
      </c>
      <c r="R98" s="28">
        <f t="shared" si="7"/>
        <v>17.241379310344829</v>
      </c>
      <c r="S98" s="29">
        <f t="shared" si="8"/>
        <v>120</v>
      </c>
    </row>
    <row r="99" spans="1:19" x14ac:dyDescent="0.2">
      <c r="A99" s="25">
        <f>Note!$B$2</f>
        <v>2565</v>
      </c>
      <c r="B99" s="47">
        <v>810</v>
      </c>
      <c r="C99" s="30" t="s">
        <v>149</v>
      </c>
      <c r="D99" s="5">
        <v>150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f t="shared" si="6"/>
        <v>150</v>
      </c>
      <c r="Q99" s="5">
        <f>'810'!$Q$6</f>
        <v>50</v>
      </c>
      <c r="R99" s="28">
        <f t="shared" si="7"/>
        <v>33.333333333333329</v>
      </c>
      <c r="S99" s="29">
        <f t="shared" si="8"/>
        <v>100</v>
      </c>
    </row>
    <row r="100" spans="1:19" x14ac:dyDescent="0.2">
      <c r="A100" s="38" t="s">
        <v>87</v>
      </c>
      <c r="B100" s="31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33"/>
      <c r="S100" s="34"/>
    </row>
    <row r="101" spans="1:19" x14ac:dyDescent="0.2">
      <c r="A101" s="35">
        <f>Note!$B$2</f>
        <v>2565</v>
      </c>
      <c r="B101" s="47">
        <v>901</v>
      </c>
      <c r="C101" s="30" t="s">
        <v>72</v>
      </c>
      <c r="D101" s="13">
        <v>101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>
        <f t="shared" si="6"/>
        <v>101</v>
      </c>
      <c r="Q101" s="5">
        <f>'901'!$Q$6</f>
        <v>1</v>
      </c>
      <c r="R101" s="28">
        <f t="shared" si="7"/>
        <v>0.99009900990099009</v>
      </c>
      <c r="S101" s="29">
        <f t="shared" si="8"/>
        <v>100</v>
      </c>
    </row>
    <row r="102" spans="1:19" x14ac:dyDescent="0.2">
      <c r="A102" s="35">
        <f>Note!$B$2</f>
        <v>2565</v>
      </c>
      <c r="B102" s="47">
        <v>902</v>
      </c>
      <c r="C102" s="30" t="s">
        <v>73</v>
      </c>
      <c r="D102" s="13">
        <v>102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>
        <f t="shared" si="6"/>
        <v>102</v>
      </c>
      <c r="Q102" s="5">
        <f>'902'!$Q$6</f>
        <v>2</v>
      </c>
      <c r="R102" s="28">
        <f t="shared" si="7"/>
        <v>1.9607843137254901</v>
      </c>
      <c r="S102" s="29">
        <f t="shared" si="8"/>
        <v>100</v>
      </c>
    </row>
    <row r="103" spans="1:19" x14ac:dyDescent="0.2">
      <c r="A103" s="35">
        <f>Note!$B$2</f>
        <v>2565</v>
      </c>
      <c r="B103" s="47">
        <v>903</v>
      </c>
      <c r="C103" s="30" t="s">
        <v>74</v>
      </c>
      <c r="D103" s="13">
        <v>103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>
        <f t="shared" si="6"/>
        <v>103</v>
      </c>
      <c r="Q103" s="5">
        <f>'903'!$Q$6</f>
        <v>3</v>
      </c>
      <c r="R103" s="28">
        <f t="shared" si="7"/>
        <v>2.912621359223301</v>
      </c>
      <c r="S103" s="29">
        <f t="shared" si="8"/>
        <v>100</v>
      </c>
    </row>
    <row r="104" spans="1:19" x14ac:dyDescent="0.2">
      <c r="A104" s="35">
        <f>Note!$B$2</f>
        <v>2565</v>
      </c>
      <c r="B104" s="47">
        <v>904</v>
      </c>
      <c r="C104" s="30" t="s">
        <v>75</v>
      </c>
      <c r="D104" s="13">
        <v>104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>
        <f t="shared" si="6"/>
        <v>104</v>
      </c>
      <c r="Q104" s="5">
        <f>'904'!$Q$6</f>
        <v>4</v>
      </c>
      <c r="R104" s="28">
        <f t="shared" si="7"/>
        <v>3.8461538461538463</v>
      </c>
      <c r="S104" s="29">
        <f t="shared" si="8"/>
        <v>100</v>
      </c>
    </row>
    <row r="105" spans="1:19" x14ac:dyDescent="0.2">
      <c r="A105" s="35">
        <f>Note!$B$2</f>
        <v>2565</v>
      </c>
      <c r="B105" s="47">
        <v>905</v>
      </c>
      <c r="C105" s="30" t="s">
        <v>76</v>
      </c>
      <c r="D105" s="13">
        <v>105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>
        <f t="shared" si="6"/>
        <v>105</v>
      </c>
      <c r="Q105" s="5">
        <f>'905'!$Q$6</f>
        <v>5</v>
      </c>
      <c r="R105" s="28">
        <f t="shared" si="7"/>
        <v>4.7619047619047619</v>
      </c>
      <c r="S105" s="29">
        <f t="shared" si="8"/>
        <v>100</v>
      </c>
    </row>
    <row r="106" spans="1:19" x14ac:dyDescent="0.2">
      <c r="A106" s="35">
        <f>Note!$B$2</f>
        <v>2565</v>
      </c>
      <c r="B106" s="47">
        <v>906</v>
      </c>
      <c r="C106" s="30" t="s">
        <v>77</v>
      </c>
      <c r="D106" s="13">
        <v>106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>
        <f t="shared" si="6"/>
        <v>106</v>
      </c>
      <c r="Q106" s="5">
        <f>'906'!$Q$6</f>
        <v>6</v>
      </c>
      <c r="R106" s="28">
        <f t="shared" si="7"/>
        <v>5.6603773584905657</v>
      </c>
      <c r="S106" s="29">
        <f t="shared" si="8"/>
        <v>100</v>
      </c>
    </row>
    <row r="107" spans="1:19" x14ac:dyDescent="0.2">
      <c r="A107" s="35">
        <f>Note!$B$2</f>
        <v>2565</v>
      </c>
      <c r="B107" s="47">
        <v>907</v>
      </c>
      <c r="C107" s="30" t="s">
        <v>78</v>
      </c>
      <c r="D107" s="13">
        <v>107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>
        <f t="shared" si="6"/>
        <v>107</v>
      </c>
      <c r="Q107" s="5">
        <f>'907'!$Q$6</f>
        <v>7</v>
      </c>
      <c r="R107" s="28">
        <f t="shared" si="7"/>
        <v>6.5420560747663554</v>
      </c>
      <c r="S107" s="29">
        <f t="shared" si="8"/>
        <v>100</v>
      </c>
    </row>
    <row r="108" spans="1:19" x14ac:dyDescent="0.2">
      <c r="A108" s="35">
        <f>Note!$B$2</f>
        <v>2565</v>
      </c>
      <c r="B108" s="47">
        <v>908</v>
      </c>
      <c r="C108" s="30" t="s">
        <v>79</v>
      </c>
      <c r="D108" s="13">
        <v>108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>
        <f t="shared" si="6"/>
        <v>108</v>
      </c>
      <c r="Q108" s="5">
        <f>'908'!$Q$6</f>
        <v>8</v>
      </c>
      <c r="R108" s="28">
        <f t="shared" si="7"/>
        <v>7.4074074074074074</v>
      </c>
      <c r="S108" s="29">
        <f t="shared" si="8"/>
        <v>100</v>
      </c>
    </row>
    <row r="109" spans="1:19" x14ac:dyDescent="0.2">
      <c r="A109" s="35">
        <f>Note!$B$2</f>
        <v>2565</v>
      </c>
      <c r="B109" s="47">
        <v>909</v>
      </c>
      <c r="C109" s="30" t="s">
        <v>80</v>
      </c>
      <c r="D109" s="13">
        <v>109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>
        <f t="shared" si="6"/>
        <v>109</v>
      </c>
      <c r="Q109" s="5">
        <f>'909'!$Q$6</f>
        <v>9</v>
      </c>
      <c r="R109" s="28">
        <f t="shared" si="7"/>
        <v>8.2568807339449553</v>
      </c>
      <c r="S109" s="29">
        <f t="shared" si="8"/>
        <v>100</v>
      </c>
    </row>
    <row r="110" spans="1:19" x14ac:dyDescent="0.2">
      <c r="A110" s="35">
        <f>Note!$B$2</f>
        <v>2565</v>
      </c>
      <c r="B110" s="47">
        <v>910</v>
      </c>
      <c r="C110" s="30" t="s">
        <v>81</v>
      </c>
      <c r="D110" s="13">
        <v>110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>
        <f t="shared" si="6"/>
        <v>110</v>
      </c>
      <c r="Q110" s="5">
        <f>'910'!$Q$6</f>
        <v>10</v>
      </c>
      <c r="R110" s="28">
        <f t="shared" si="7"/>
        <v>9.0909090909090899</v>
      </c>
      <c r="S110" s="29">
        <f t="shared" si="8"/>
        <v>100</v>
      </c>
    </row>
    <row r="111" spans="1:19" x14ac:dyDescent="0.2">
      <c r="A111" s="35">
        <f>Note!$B$2</f>
        <v>2565</v>
      </c>
      <c r="B111" s="47">
        <v>911</v>
      </c>
      <c r="C111" s="30" t="s">
        <v>145</v>
      </c>
      <c r="D111" s="13">
        <v>111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>
        <f t="shared" si="6"/>
        <v>111</v>
      </c>
      <c r="Q111" s="5">
        <f>'911'!$Q$6</f>
        <v>11</v>
      </c>
      <c r="R111" s="28">
        <f t="shared" si="7"/>
        <v>9.9099099099099099</v>
      </c>
      <c r="S111" s="29">
        <f t="shared" si="8"/>
        <v>100</v>
      </c>
    </row>
    <row r="112" spans="1:19" x14ac:dyDescent="0.2">
      <c r="A112" s="35">
        <f>Note!$B$2</f>
        <v>2565</v>
      </c>
      <c r="B112" s="47">
        <v>912</v>
      </c>
      <c r="C112" s="30" t="s">
        <v>146</v>
      </c>
      <c r="D112" s="13">
        <v>112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>
        <f t="shared" si="6"/>
        <v>112</v>
      </c>
      <c r="Q112" s="5">
        <f>'912'!$Q$6</f>
        <v>12</v>
      </c>
      <c r="R112" s="28">
        <f t="shared" si="7"/>
        <v>10.714285714285715</v>
      </c>
      <c r="S112" s="29">
        <f t="shared" si="8"/>
        <v>100</v>
      </c>
    </row>
    <row r="113" spans="1:19" x14ac:dyDescent="0.2">
      <c r="A113" s="35">
        <f>Note!$B$2</f>
        <v>2565</v>
      </c>
      <c r="B113" s="47">
        <v>913</v>
      </c>
      <c r="C113" s="30" t="s">
        <v>147</v>
      </c>
      <c r="D113" s="13">
        <v>113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>
        <f t="shared" si="6"/>
        <v>113</v>
      </c>
      <c r="Q113" s="5">
        <f>'913'!$Q$6</f>
        <v>13</v>
      </c>
      <c r="R113" s="28">
        <f t="shared" si="7"/>
        <v>11.504424778761063</v>
      </c>
      <c r="S113" s="29">
        <f t="shared" si="8"/>
        <v>100</v>
      </c>
    </row>
    <row r="114" spans="1:19" x14ac:dyDescent="0.2">
      <c r="A114" s="35">
        <f>Note!$B$2</f>
        <v>2565</v>
      </c>
      <c r="B114" s="47">
        <v>914</v>
      </c>
      <c r="C114" s="30" t="s">
        <v>148</v>
      </c>
      <c r="D114" s="13">
        <v>114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>
        <f t="shared" si="6"/>
        <v>114</v>
      </c>
      <c r="Q114" s="5">
        <f>'914'!$Q$6</f>
        <v>14</v>
      </c>
      <c r="R114" s="28">
        <f t="shared" si="7"/>
        <v>12.280701754385964</v>
      </c>
      <c r="S114" s="29">
        <f t="shared" si="8"/>
        <v>100</v>
      </c>
    </row>
    <row r="115" spans="1:19" x14ac:dyDescent="0.2">
      <c r="A115" s="35">
        <f>Note!$B$2</f>
        <v>2565</v>
      </c>
      <c r="B115" s="47">
        <v>915</v>
      </c>
      <c r="C115" s="30" t="s">
        <v>149</v>
      </c>
      <c r="D115" s="13">
        <v>115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>
        <f t="shared" si="6"/>
        <v>115</v>
      </c>
      <c r="Q115" s="5">
        <f>'915'!$Q$6</f>
        <v>15</v>
      </c>
      <c r="R115" s="28">
        <f t="shared" si="7"/>
        <v>13.043478260869565</v>
      </c>
      <c r="S115" s="29">
        <f t="shared" si="8"/>
        <v>100</v>
      </c>
    </row>
    <row r="116" spans="1:19" x14ac:dyDescent="0.2">
      <c r="A116" s="35">
        <f>Note!$B$2</f>
        <v>2565</v>
      </c>
      <c r="B116" s="47">
        <v>916</v>
      </c>
      <c r="C116" s="30" t="s">
        <v>151</v>
      </c>
      <c r="D116" s="13">
        <v>116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>
        <f t="shared" si="6"/>
        <v>116</v>
      </c>
      <c r="Q116" s="5">
        <f>'916'!$Q$6</f>
        <v>16</v>
      </c>
      <c r="R116" s="28">
        <f t="shared" si="7"/>
        <v>13.793103448275861</v>
      </c>
      <c r="S116" s="29">
        <f t="shared" si="8"/>
        <v>100</v>
      </c>
    </row>
    <row r="117" spans="1:19" x14ac:dyDescent="0.2">
      <c r="A117" s="35">
        <f>Note!$B$2</f>
        <v>2565</v>
      </c>
      <c r="B117" s="47">
        <v>917</v>
      </c>
      <c r="C117" s="30" t="s">
        <v>152</v>
      </c>
      <c r="D117" s="13">
        <v>117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>
        <f t="shared" si="6"/>
        <v>117</v>
      </c>
      <c r="Q117" s="5">
        <f>'917'!$Q$6</f>
        <v>17</v>
      </c>
      <c r="R117" s="28">
        <f t="shared" si="7"/>
        <v>14.52991452991453</v>
      </c>
      <c r="S117" s="29">
        <f t="shared" si="8"/>
        <v>100</v>
      </c>
    </row>
    <row r="118" spans="1:19" x14ac:dyDescent="0.2">
      <c r="A118" s="35">
        <f>Note!$B$2</f>
        <v>2565</v>
      </c>
      <c r="B118" s="47">
        <v>918</v>
      </c>
      <c r="C118" s="30" t="s">
        <v>153</v>
      </c>
      <c r="D118" s="13">
        <v>118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>
        <f t="shared" si="6"/>
        <v>118</v>
      </c>
      <c r="Q118" s="5">
        <f>'918'!$Q$6</f>
        <v>18</v>
      </c>
      <c r="R118" s="28">
        <f t="shared" si="7"/>
        <v>15.254237288135592</v>
      </c>
      <c r="S118" s="29">
        <f t="shared" si="8"/>
        <v>100</v>
      </c>
    </row>
    <row r="119" spans="1:19" x14ac:dyDescent="0.2">
      <c r="A119" s="35">
        <f>Note!$B$2</f>
        <v>2565</v>
      </c>
      <c r="B119" s="47">
        <v>919</v>
      </c>
      <c r="C119" s="30" t="s">
        <v>154</v>
      </c>
      <c r="D119" s="13">
        <v>119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>
        <f t="shared" si="6"/>
        <v>119</v>
      </c>
      <c r="Q119" s="5">
        <f>'919'!$Q$6</f>
        <v>19</v>
      </c>
      <c r="R119" s="28">
        <f t="shared" si="7"/>
        <v>15.966386554621849</v>
      </c>
      <c r="S119" s="29">
        <f t="shared" si="8"/>
        <v>100</v>
      </c>
    </row>
    <row r="120" spans="1:19" x14ac:dyDescent="0.2">
      <c r="A120" s="35">
        <f>Note!$B$2</f>
        <v>2565</v>
      </c>
      <c r="B120" s="47">
        <v>920</v>
      </c>
      <c r="C120" s="30" t="s">
        <v>155</v>
      </c>
      <c r="D120" s="13">
        <v>120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>
        <f t="shared" si="6"/>
        <v>120</v>
      </c>
      <c r="Q120" s="5">
        <f>'920'!$Q$6</f>
        <v>20</v>
      </c>
      <c r="R120" s="28">
        <f t="shared" si="7"/>
        <v>16.666666666666668</v>
      </c>
      <c r="S120" s="29">
        <f t="shared" si="8"/>
        <v>100</v>
      </c>
    </row>
  </sheetData>
  <mergeCells count="6">
    <mergeCell ref="D2:F2"/>
    <mergeCell ref="G2:L2"/>
    <mergeCell ref="N2:O2"/>
    <mergeCell ref="P2:P3"/>
    <mergeCell ref="Q3:S3"/>
    <mergeCell ref="Q2:S2"/>
  </mergeCells>
  <hyperlinks>
    <hyperlink ref="B10" location="'101'!A10" display="'101'!A10" xr:uid="{00000000-0004-0000-0300-000000000000}"/>
    <hyperlink ref="B11" location="'102'!A10" display="'102'!A10" xr:uid="{00000000-0004-0000-0300-000001000000}"/>
    <hyperlink ref="B12" location="'103'!A10" display="'103'!A10" xr:uid="{00000000-0004-0000-0300-000002000000}"/>
    <hyperlink ref="B13" location="'104'!A10" display="'104'!A10" xr:uid="{00000000-0004-0000-0300-000003000000}"/>
    <hyperlink ref="B14" location="'105'!A10" display="'105'!A10" xr:uid="{00000000-0004-0000-0300-000004000000}"/>
    <hyperlink ref="B16" location="'201'!A10" display="'201'!A10" xr:uid="{00000000-0004-0000-0300-000005000000}"/>
    <hyperlink ref="B17" location="'202'!A10" display="'202'!A10" xr:uid="{00000000-0004-0000-0300-000006000000}"/>
    <hyperlink ref="B18" location="'203'!A10" display="'203'!A10" xr:uid="{00000000-0004-0000-0300-000007000000}"/>
    <hyperlink ref="B19" location="'204'!A10" display="'204'!A10" xr:uid="{00000000-0004-0000-0300-000008000000}"/>
    <hyperlink ref="B20" location="'205'!A10" display="'205'!A10" xr:uid="{00000000-0004-0000-0300-000009000000}"/>
    <hyperlink ref="B21" location="'206'!A10" display="'206'!A10" xr:uid="{00000000-0004-0000-0300-00000A000000}"/>
    <hyperlink ref="B22" location="'207'!A10" display="'207'!A10" xr:uid="{00000000-0004-0000-0300-00000B000000}"/>
    <hyperlink ref="B23" location="'208'!A10" display="'208'!A10" xr:uid="{00000000-0004-0000-0300-00000C000000}"/>
    <hyperlink ref="B24" location="'209'!A10" display="'209'!A10" xr:uid="{00000000-0004-0000-0300-00000D000000}"/>
    <hyperlink ref="B25" location="'210'!A10" display="'210'!A10" xr:uid="{00000000-0004-0000-0300-00000E000000}"/>
    <hyperlink ref="B26" location="'211'!A10" display="'211'!A10" xr:uid="{00000000-0004-0000-0300-00000F000000}"/>
    <hyperlink ref="B27" location="'212'!A10" display="'212'!A10" xr:uid="{00000000-0004-0000-0300-000010000000}"/>
    <hyperlink ref="B28" location="'213'!A10" display="'213'!A10" xr:uid="{00000000-0004-0000-0300-000011000000}"/>
    <hyperlink ref="B29" location="'214'!A10" display="'214'!A10" xr:uid="{00000000-0004-0000-0300-000012000000}"/>
    <hyperlink ref="B31" location="'301'!A10" display="'301'!A10" xr:uid="{00000000-0004-0000-0300-000013000000}"/>
    <hyperlink ref="B32" location="'302'!A10" display="'302'!A10" xr:uid="{00000000-0004-0000-0300-000014000000}"/>
    <hyperlink ref="B33" location="'303'!A10" display="'303'!A10" xr:uid="{00000000-0004-0000-0300-000015000000}"/>
    <hyperlink ref="B34" location="'304'!A10" display="'304'!A10" xr:uid="{00000000-0004-0000-0300-000016000000}"/>
    <hyperlink ref="B35" location="'305'!A10" display="'305'!A10" xr:uid="{00000000-0004-0000-0300-000017000000}"/>
    <hyperlink ref="B36" location="'306'!A10" display="'306'!A10" xr:uid="{00000000-0004-0000-0300-000018000000}"/>
    <hyperlink ref="B37" location="'307'!A10" display="'307'!A10" xr:uid="{00000000-0004-0000-0300-000019000000}"/>
    <hyperlink ref="B38" location="'308'!A10" display="'308'!A10" xr:uid="{00000000-0004-0000-0300-00001A000000}"/>
    <hyperlink ref="B39" location="'309'!A10" display="'309'!A10" xr:uid="{00000000-0004-0000-0300-00001B000000}"/>
    <hyperlink ref="B40" location="'310'!A10" display="'310'!A10" xr:uid="{00000000-0004-0000-0300-00001C000000}"/>
    <hyperlink ref="B41" location="'311'!A10" display="'311'!A10" xr:uid="{00000000-0004-0000-0300-00001D000000}"/>
    <hyperlink ref="B42" location="'312'!A10" display="'312'!A10" xr:uid="{00000000-0004-0000-0300-00001E000000}"/>
    <hyperlink ref="B43" location="'313'!A10" display="'313'!A10" xr:uid="{00000000-0004-0000-0300-00001F000000}"/>
    <hyperlink ref="B44" location="'314'!A10" display="'314'!A10" xr:uid="{00000000-0004-0000-0300-000020000000}"/>
    <hyperlink ref="B46" location="'401'!A10" display="'401'!A10" xr:uid="{00000000-0004-0000-0300-000021000000}"/>
    <hyperlink ref="B47" location="'402'!A10" display="'402'!A10" xr:uid="{00000000-0004-0000-0300-000022000000}"/>
    <hyperlink ref="B48" location="'403'!A10" display="'403'!A10" xr:uid="{00000000-0004-0000-0300-000023000000}"/>
    <hyperlink ref="B49" location="'404'!A10" display="'404'!A10" xr:uid="{00000000-0004-0000-0300-000024000000}"/>
    <hyperlink ref="B50" location="'405'!A10" display="'405'!A10" xr:uid="{00000000-0004-0000-0300-000025000000}"/>
    <hyperlink ref="B51" location="'406'!A10" display="'406'!A10" xr:uid="{00000000-0004-0000-0300-000026000000}"/>
    <hyperlink ref="B52" location="'407'!A10" display="'407'!A10" xr:uid="{00000000-0004-0000-0300-000027000000}"/>
    <hyperlink ref="B53" location="'408'!A10" display="'408'!A10" xr:uid="{00000000-0004-0000-0300-000028000000}"/>
    <hyperlink ref="B54" location="'409'!A10" display="'409'!A10" xr:uid="{00000000-0004-0000-0300-000029000000}"/>
    <hyperlink ref="B55" location="'410'!A10" display="'410'!A10" xr:uid="{00000000-0004-0000-0300-00002A000000}"/>
    <hyperlink ref="B56" location="'411'!A10" display="'411'!A10" xr:uid="{00000000-0004-0000-0300-00002B000000}"/>
    <hyperlink ref="B57" location="'412'!A10" display="'412'!A10" xr:uid="{00000000-0004-0000-0300-00002C000000}"/>
    <hyperlink ref="B58" location="'413'!A10" display="'413'!A10" xr:uid="{00000000-0004-0000-0300-00002D000000}"/>
    <hyperlink ref="B59" location="'414'!A10" display="'414'!A10" xr:uid="{00000000-0004-0000-0300-00002E000000}"/>
    <hyperlink ref="B60" location="'415'!A10" display="'415'!A10" xr:uid="{00000000-0004-0000-0300-00002F000000}"/>
    <hyperlink ref="B61" location="'416'!A10" display="'416'!A10" xr:uid="{00000000-0004-0000-0300-000030000000}"/>
    <hyperlink ref="B62" location="'417'!A10" display="'417'!A10" xr:uid="{00000000-0004-0000-0300-000031000000}"/>
    <hyperlink ref="B64" location="'501'!A10" display="'501'!A10" xr:uid="{00000000-0004-0000-0300-000032000000}"/>
    <hyperlink ref="B65" location="'502'!A10" display="'502'!A10" xr:uid="{00000000-0004-0000-0300-000033000000}"/>
    <hyperlink ref="B66" location="'503'!A10" display="'503'!A10" xr:uid="{00000000-0004-0000-0300-000034000000}"/>
    <hyperlink ref="B67" location="'504'!A10" display="'504'!A10" xr:uid="{00000000-0004-0000-0300-000035000000}"/>
    <hyperlink ref="B68" location="'505'!A10" display="'505'!A10" xr:uid="{00000000-0004-0000-0300-000036000000}"/>
    <hyperlink ref="B69" location="'506'!A10" display="'506'!A10" xr:uid="{00000000-0004-0000-0300-000037000000}"/>
    <hyperlink ref="B70" location="'507'!A10" display="'507'!A10" xr:uid="{00000000-0004-0000-0300-000038000000}"/>
    <hyperlink ref="B71" location="'508'!A10" display="'508'!A10" xr:uid="{00000000-0004-0000-0300-000039000000}"/>
    <hyperlink ref="B73" location="'601'!A10" display="'601'!A10" xr:uid="{00000000-0004-0000-0300-00003A000000}"/>
    <hyperlink ref="B74" location="'602'!A10" display="'602'!A10" xr:uid="{00000000-0004-0000-0300-00003B000000}"/>
    <hyperlink ref="B75" location="'603'!A10" display="'603'!A10" xr:uid="{00000000-0004-0000-0300-00003C000000}"/>
    <hyperlink ref="B76" location="'604'!A10" display="'604'!A10" xr:uid="{00000000-0004-0000-0300-00003D000000}"/>
    <hyperlink ref="B77" location="'605'!A10" display="'605'!A10" xr:uid="{00000000-0004-0000-0300-00003E000000}"/>
    <hyperlink ref="B78" location="'606'!A10" display="'606'!A10" xr:uid="{00000000-0004-0000-0300-00003F000000}"/>
    <hyperlink ref="B79" location="'607'!A10" display="'607'!A10" xr:uid="{00000000-0004-0000-0300-000040000000}"/>
    <hyperlink ref="B80" location="'608'!A10" display="'608'!A10" xr:uid="{00000000-0004-0000-0300-000041000000}"/>
    <hyperlink ref="B81" location="'609'!A10" display="'609'!A10" xr:uid="{00000000-0004-0000-0300-000042000000}"/>
    <hyperlink ref="B82" location="'610'!A10" display="'610'!A10" xr:uid="{00000000-0004-0000-0300-000043000000}"/>
    <hyperlink ref="B84" location="'701'!A10" display="'701'!A10" xr:uid="{00000000-0004-0000-0300-000044000000}"/>
    <hyperlink ref="B85" location="'702'!A10" display="'702'!A10" xr:uid="{00000000-0004-0000-0300-000045000000}"/>
    <hyperlink ref="B86" location="'703'!A10" display="'703'!A10" xr:uid="{00000000-0004-0000-0300-000046000000}"/>
    <hyperlink ref="B87" location="'704'!A10" display="'704'!A10" xr:uid="{00000000-0004-0000-0300-000047000000}"/>
    <hyperlink ref="B88" location="'705'!A10" display="'705'!A10" xr:uid="{00000000-0004-0000-0300-000048000000}"/>
    <hyperlink ref="B90" location="'801'!A10" display="'801'!A10" xr:uid="{00000000-0004-0000-0300-000049000000}"/>
    <hyperlink ref="B91" location="'802'!A10" display="'802'!A10" xr:uid="{00000000-0004-0000-0300-00004A000000}"/>
    <hyperlink ref="B92" location="'803'!A10" display="'803'!A10" xr:uid="{00000000-0004-0000-0300-00004B000000}"/>
    <hyperlink ref="B93" location="'804'!A10" display="'804'!A10" xr:uid="{00000000-0004-0000-0300-00004C000000}"/>
    <hyperlink ref="B94" location="'805'!A10" display="'805'!A10" xr:uid="{00000000-0004-0000-0300-00004D000000}"/>
    <hyperlink ref="B95" location="'806'!A10" display="'806'!A10" xr:uid="{00000000-0004-0000-0300-00004E000000}"/>
    <hyperlink ref="B96" location="'807'!A10" display="'807'!A10" xr:uid="{00000000-0004-0000-0300-00004F000000}"/>
    <hyperlink ref="B97" location="'808'!A10" display="'808'!A10" xr:uid="{00000000-0004-0000-0300-000050000000}"/>
    <hyperlink ref="B98" location="'809'!A10" display="'809'!A10" xr:uid="{00000000-0004-0000-0300-000051000000}"/>
    <hyperlink ref="B99" location="'810'!A10" display="'810'!A10" xr:uid="{00000000-0004-0000-0300-000052000000}"/>
    <hyperlink ref="B101" location="'901'!A10" display="'901'!A10" xr:uid="{00000000-0004-0000-0300-000053000000}"/>
    <hyperlink ref="B102" location="'902'!A10" display="'902'!A10" xr:uid="{00000000-0004-0000-0300-000054000000}"/>
    <hyperlink ref="B103" location="'903'!A10" display="'903'!A10" xr:uid="{00000000-0004-0000-0300-000055000000}"/>
    <hyperlink ref="B104" location="'904'!A10" display="'904'!A10" xr:uid="{00000000-0004-0000-0300-000056000000}"/>
    <hyperlink ref="B105" location="'905'!A10" display="'905'!A10" xr:uid="{00000000-0004-0000-0300-000057000000}"/>
    <hyperlink ref="B106" location="'906'!A10" display="'906'!A10" xr:uid="{00000000-0004-0000-0300-000058000000}"/>
    <hyperlink ref="B107" location="'907'!A10" display="'907'!A10" xr:uid="{00000000-0004-0000-0300-000059000000}"/>
    <hyperlink ref="B108" location="'908'!A10" display="'908'!A10" xr:uid="{00000000-0004-0000-0300-00005A000000}"/>
    <hyperlink ref="B109" location="'909'!A10" display="'909'!A10" xr:uid="{00000000-0004-0000-0300-00005B000000}"/>
    <hyperlink ref="B110" location="'910'!A10" display="'910'!A10" xr:uid="{00000000-0004-0000-0300-00005C000000}"/>
    <hyperlink ref="B111" location="'911'!A10" display="'911'!A10" xr:uid="{00000000-0004-0000-0300-00005D000000}"/>
    <hyperlink ref="B112" location="'912'!A10" display="'912'!A10" xr:uid="{00000000-0004-0000-0300-00005E000000}"/>
    <hyperlink ref="B113" location="'913'!A10" display="'913'!A10" xr:uid="{00000000-0004-0000-0300-00005F000000}"/>
    <hyperlink ref="B114" location="'914'!A10" display="'914'!A10" xr:uid="{00000000-0004-0000-0300-000060000000}"/>
    <hyperlink ref="B115" location="'915'!A10" display="'915'!A10" xr:uid="{00000000-0004-0000-0300-000061000000}"/>
    <hyperlink ref="B116" location="'916'!A10" display="'916'!A10" xr:uid="{00000000-0004-0000-0300-000062000000}"/>
    <hyperlink ref="B117" location="'917'!A10" display="'917'!A10" xr:uid="{00000000-0004-0000-0300-000063000000}"/>
    <hyperlink ref="B118" location="'918'!A10" display="'918'!A10" xr:uid="{00000000-0004-0000-0300-000064000000}"/>
    <hyperlink ref="B119" location="'919'!A10" display="'919'!A10" xr:uid="{00000000-0004-0000-0300-000065000000}"/>
    <hyperlink ref="B120" location="'920'!A10" display="'920'!A10" xr:uid="{00000000-0004-0000-0300-000066000000}"/>
  </hyperlink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5"/>
  <sheetViews>
    <sheetView showGridLines="0" workbookViewId="0">
      <pane ySplit="10" topLeftCell="A11" activePane="bottomLeft" state="frozen"/>
      <selection pane="bottomLeft" activeCell="A10" sqref="A10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</f>
        <v>1000</v>
      </c>
      <c r="F5" s="5">
        <f>'จัดสรร งปม.'!E10</f>
        <v>0</v>
      </c>
      <c r="G5" s="5">
        <f>'จัดสรร งปม.'!F10</f>
        <v>0</v>
      </c>
      <c r="H5" s="5">
        <f>'จัดสรร งปม.'!G10</f>
        <v>0</v>
      </c>
      <c r="I5" s="5">
        <f>'จัดสรร งปม.'!H10</f>
        <v>0</v>
      </c>
      <c r="J5" s="5">
        <f>'จัดสรร งปม.'!I10</f>
        <v>0</v>
      </c>
      <c r="K5" s="5">
        <f>'จัดสรร งปม.'!J10</f>
        <v>0</v>
      </c>
      <c r="L5" s="5">
        <f>'จัดสรร งปม.'!K10</f>
        <v>0</v>
      </c>
      <c r="M5" s="5">
        <f>'จัดสรร งปม.'!L10</f>
        <v>0</v>
      </c>
      <c r="N5" s="5">
        <f>'จัดสรร งปม.'!M10</f>
        <v>0</v>
      </c>
      <c r="O5" s="5">
        <f>'จัดสรร งปม.'!N10</f>
        <v>0</v>
      </c>
      <c r="P5" s="5">
        <f>'จัดสรร งปม.'!O10</f>
        <v>0</v>
      </c>
      <c r="Q5" s="5">
        <f>'จัดสรร งปม.'!P10</f>
        <v>1000</v>
      </c>
    </row>
    <row r="6" spans="1:17" x14ac:dyDescent="0.2">
      <c r="D6" s="4" t="s">
        <v>97</v>
      </c>
      <c r="E6" s="5">
        <f>SUM(E11:E45)</f>
        <v>500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500</v>
      </c>
    </row>
    <row r="7" spans="1:17" x14ac:dyDescent="0.2">
      <c r="B7" s="51" t="s">
        <v>156</v>
      </c>
      <c r="C7" s="6"/>
      <c r="D7" s="4" t="s">
        <v>99</v>
      </c>
      <c r="E7" s="5">
        <f>E5-E6</f>
        <v>500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500</v>
      </c>
    </row>
    <row r="8" spans="1:17" x14ac:dyDescent="0.2">
      <c r="B8" s="4" t="s">
        <v>102</v>
      </c>
      <c r="C8" s="6">
        <f>'จัดสรร งปม.'!$B$10</f>
        <v>101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</f>
        <v>เงินเดือนพนักงานราชการ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40" t="s">
        <v>108</v>
      </c>
      <c r="B11" s="12" t="s">
        <v>144</v>
      </c>
      <c r="C11" s="13"/>
      <c r="D11" s="13"/>
      <c r="E11" s="5">
        <v>500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A1:B1"/>
    <mergeCell ref="E3:G3"/>
    <mergeCell ref="O3:P3"/>
    <mergeCell ref="Q3:Q4"/>
    <mergeCell ref="H3:M3"/>
    <mergeCell ref="O9:P9"/>
    <mergeCell ref="H9:M9"/>
    <mergeCell ref="C9:G9"/>
  </mergeCells>
  <hyperlinks>
    <hyperlink ref="A11" r:id="rId1" xr:uid="{00000000-0004-0000-0400-000000000000}"/>
    <hyperlink ref="A1:B1" location="'จัดสรร งปม.'!A1" display="กลับไปที่หน้าจัดสรร งปม.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5"/>
  <sheetViews>
    <sheetView showGridLines="0" workbookViewId="0">
      <pane ySplit="10" topLeftCell="A11" activePane="bottomLeft" state="frozen"/>
      <selection pane="bottomLeft" sqref="A1:B1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</f>
        <v>1000</v>
      </c>
      <c r="F5" s="5">
        <f>'จัดสรร งปม.'!E11</f>
        <v>0</v>
      </c>
      <c r="G5" s="5">
        <f>'จัดสรร งปม.'!F11</f>
        <v>0</v>
      </c>
      <c r="H5" s="5">
        <f>'จัดสรร งปม.'!G11</f>
        <v>0</v>
      </c>
      <c r="I5" s="5">
        <f>'จัดสรร งปม.'!H11</f>
        <v>0</v>
      </c>
      <c r="J5" s="5">
        <f>'จัดสรร งปม.'!I11</f>
        <v>0</v>
      </c>
      <c r="K5" s="5">
        <f>'จัดสรร งปม.'!J11</f>
        <v>0</v>
      </c>
      <c r="L5" s="5">
        <f>'จัดสรร งปม.'!K11</f>
        <v>0</v>
      </c>
      <c r="M5" s="5">
        <f>'จัดสรร งปม.'!L11</f>
        <v>0</v>
      </c>
      <c r="N5" s="5">
        <f>'จัดสรร งปม.'!M11</f>
        <v>0</v>
      </c>
      <c r="O5" s="5">
        <f>'จัดสรร งปม.'!N11</f>
        <v>0</v>
      </c>
      <c r="P5" s="5">
        <f>'จัดสรร งปม.'!O11</f>
        <v>0</v>
      </c>
      <c r="Q5" s="5">
        <f>'จัดสรร งปม.'!P11</f>
        <v>1000</v>
      </c>
    </row>
    <row r="6" spans="1:17" x14ac:dyDescent="0.2">
      <c r="D6" s="4" t="s">
        <v>97</v>
      </c>
      <c r="E6" s="5">
        <f>SUM(E11:E45)</f>
        <v>250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250</v>
      </c>
    </row>
    <row r="7" spans="1:17" x14ac:dyDescent="0.2">
      <c r="B7" s="51" t="s">
        <v>156</v>
      </c>
      <c r="C7" s="6"/>
      <c r="D7" s="4" t="s">
        <v>99</v>
      </c>
      <c r="E7" s="5">
        <f>E5-E6</f>
        <v>750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750</v>
      </c>
    </row>
    <row r="8" spans="1:17" x14ac:dyDescent="0.2">
      <c r="B8" s="4" t="s">
        <v>102</v>
      </c>
      <c r="C8" s="6">
        <f>'จัดสรร งปม.'!$B$11</f>
        <v>102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</f>
        <v>สำรอง 1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0500-000000000000}"/>
  </hyperlink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5"/>
  <sheetViews>
    <sheetView showGridLines="0" workbookViewId="0">
      <pane ySplit="10" topLeftCell="A11" activePane="bottomLeft" state="frozen"/>
      <selection pane="bottomLeft" sqref="A1:B1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งปม.'!D12</f>
        <v>1010</v>
      </c>
      <c r="F5" s="5">
        <f>'จัดสรร งปม.'!E12</f>
        <v>0</v>
      </c>
      <c r="G5" s="5">
        <f>'จัดสรร งปม.'!F12</f>
        <v>0</v>
      </c>
      <c r="H5" s="5">
        <f>'จัดสรร งปม.'!G12</f>
        <v>0</v>
      </c>
      <c r="I5" s="5">
        <f>'จัดสรร งปม.'!H12</f>
        <v>0</v>
      </c>
      <c r="J5" s="5">
        <f>'จัดสรร งปม.'!I12</f>
        <v>0</v>
      </c>
      <c r="K5" s="5">
        <f>'จัดสรร งปม.'!J12</f>
        <v>0</v>
      </c>
      <c r="L5" s="5">
        <f>'จัดสรร งปม.'!K12</f>
        <v>0</v>
      </c>
      <c r="M5" s="5">
        <f>'จัดสรร งปม.'!L12</f>
        <v>0</v>
      </c>
      <c r="N5" s="5">
        <f>'จัดสรร งปม.'!M12</f>
        <v>0</v>
      </c>
      <c r="O5" s="5">
        <f>'จัดสรร งปม.'!N12</f>
        <v>0</v>
      </c>
      <c r="P5" s="5">
        <f>'จัดสรร งปม.'!O12</f>
        <v>0</v>
      </c>
      <c r="Q5" s="5">
        <f>'จัดสรร งปม.'!P12</f>
        <v>1010</v>
      </c>
    </row>
    <row r="6" spans="1:17" x14ac:dyDescent="0.2">
      <c r="D6" s="4" t="s">
        <v>97</v>
      </c>
      <c r="E6" s="5">
        <f>SUM(E11:E45)</f>
        <v>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</v>
      </c>
    </row>
    <row r="7" spans="1:17" x14ac:dyDescent="0.2">
      <c r="B7" s="51" t="s">
        <v>156</v>
      </c>
      <c r="C7" s="6"/>
      <c r="D7" s="4" t="s">
        <v>99</v>
      </c>
      <c r="E7" s="5">
        <f>E5-E6</f>
        <v>960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960</v>
      </c>
    </row>
    <row r="8" spans="1:17" x14ac:dyDescent="0.2">
      <c r="B8" s="4" t="s">
        <v>102</v>
      </c>
      <c r="C8" s="6">
        <f>'จัดสรร งปม.'!$B$12</f>
        <v>103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งปม.'!$C$12</f>
        <v>สำรอง 2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5"/>
  <sheetViews>
    <sheetView showGridLines="0" workbookViewId="0">
      <pane ySplit="10" topLeftCell="A11" activePane="bottomLeft" state="frozen"/>
      <selection pane="bottomLeft" activeCell="E5" sqref="E5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งปม.'!D13</f>
        <v>1000</v>
      </c>
      <c r="F5" s="5">
        <f>'จัดสรร งปม.'!E13</f>
        <v>0</v>
      </c>
      <c r="G5" s="5">
        <f>'จัดสรร งปม.'!F13</f>
        <v>0</v>
      </c>
      <c r="H5" s="5">
        <f>'จัดสรร งปม.'!G13</f>
        <v>0</v>
      </c>
      <c r="I5" s="5">
        <f>'จัดสรร งปม.'!H13</f>
        <v>0</v>
      </c>
      <c r="J5" s="5">
        <f>'จัดสรร งปม.'!I13</f>
        <v>0</v>
      </c>
      <c r="K5" s="5">
        <f>'จัดสรร งปม.'!J13</f>
        <v>0</v>
      </c>
      <c r="L5" s="5">
        <f>'จัดสรร งปม.'!K13</f>
        <v>0</v>
      </c>
      <c r="M5" s="5">
        <f>'จัดสรร งปม.'!L13</f>
        <v>0</v>
      </c>
      <c r="N5" s="5">
        <f>'จัดสรร งปม.'!M13</f>
        <v>0</v>
      </c>
      <c r="O5" s="5">
        <f>'จัดสรร งปม.'!N13</f>
        <v>0</v>
      </c>
      <c r="P5" s="5">
        <f>'จัดสรร งปม.'!O13</f>
        <v>0</v>
      </c>
      <c r="Q5" s="5">
        <f>'จัดสรร งปม.'!P13</f>
        <v>1000</v>
      </c>
    </row>
    <row r="6" spans="1:17" x14ac:dyDescent="0.2">
      <c r="D6" s="4" t="s">
        <v>97</v>
      </c>
      <c r="E6" s="5">
        <f>SUM(E11:E45)</f>
        <v>150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150</v>
      </c>
    </row>
    <row r="7" spans="1:17" x14ac:dyDescent="0.2">
      <c r="B7" s="51" t="s">
        <v>156</v>
      </c>
      <c r="C7" s="6"/>
      <c r="D7" s="4" t="s">
        <v>99</v>
      </c>
      <c r="E7" s="5">
        <f>E5-E6</f>
        <v>850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850</v>
      </c>
    </row>
    <row r="8" spans="1:17" x14ac:dyDescent="0.2">
      <c r="B8" s="4" t="s">
        <v>102</v>
      </c>
      <c r="C8" s="6">
        <f>'จัดสรร งปม.'!$B$13</f>
        <v>104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งปม.'!$C$13</f>
        <v>สำรอง 3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5"/>
  <sheetViews>
    <sheetView showGridLines="0" workbookViewId="0">
      <pane ySplit="10" topLeftCell="A11" activePane="bottomLeft" state="frozen"/>
      <selection pane="bottomLeft" activeCell="E6" sqref="E6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งปม.'!D14</f>
        <v>1000</v>
      </c>
      <c r="F5" s="5">
        <f>'จัดสรร งปม.'!E14</f>
        <v>0</v>
      </c>
      <c r="G5" s="5">
        <f>'จัดสรร งปม.'!F14</f>
        <v>0</v>
      </c>
      <c r="H5" s="5">
        <f>'จัดสรร งปม.'!G14</f>
        <v>0</v>
      </c>
      <c r="I5" s="5">
        <f>'จัดสรร งปม.'!H14</f>
        <v>0</v>
      </c>
      <c r="J5" s="5">
        <f>'จัดสรร งปม.'!I14</f>
        <v>0</v>
      </c>
      <c r="K5" s="5">
        <f>'จัดสรร งปม.'!J14</f>
        <v>0</v>
      </c>
      <c r="L5" s="5">
        <f>'จัดสรร งปม.'!K14</f>
        <v>0</v>
      </c>
      <c r="M5" s="5">
        <f>'จัดสรร งปม.'!L14</f>
        <v>0</v>
      </c>
      <c r="N5" s="5">
        <f>'จัดสรร งปม.'!M14</f>
        <v>0</v>
      </c>
      <c r="O5" s="5">
        <f>'จัดสรร งปม.'!N14</f>
        <v>0</v>
      </c>
      <c r="P5" s="5">
        <f>'จัดสรร งปม.'!O14</f>
        <v>0</v>
      </c>
      <c r="Q5" s="5">
        <f>'จัดสรร งปม.'!P14</f>
        <v>1000</v>
      </c>
    </row>
    <row r="6" spans="1:17" x14ac:dyDescent="0.2">
      <c r="D6" s="4" t="s">
        <v>97</v>
      </c>
      <c r="E6" s="5">
        <f>SUM(E11:E45)</f>
        <v>120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120</v>
      </c>
    </row>
    <row r="7" spans="1:17" x14ac:dyDescent="0.2">
      <c r="B7" s="51" t="s">
        <v>156</v>
      </c>
      <c r="C7" s="6"/>
      <c r="D7" s="4" t="s">
        <v>99</v>
      </c>
      <c r="E7" s="5">
        <f>E5-E6</f>
        <v>880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880</v>
      </c>
    </row>
    <row r="8" spans="1:17" x14ac:dyDescent="0.2">
      <c r="B8" s="4" t="s">
        <v>102</v>
      </c>
      <c r="C8" s="6">
        <f>'จัดสรร งปม.'!$B$14</f>
        <v>105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งปม.'!$C$14</f>
        <v>สำรอง 4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5"/>
  <sheetViews>
    <sheetView showGridLines="0" workbookViewId="0">
      <pane ySplit="10" topLeftCell="A11" activePane="bottomLeft" state="frozen"/>
      <selection pane="bottomLeft" sqref="A1:B1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งปม.'!D16</f>
        <v>110</v>
      </c>
      <c r="F5" s="5">
        <f>'จัดสรร งปม.'!E16</f>
        <v>0</v>
      </c>
      <c r="G5" s="5">
        <f>'จัดสรร งปม.'!F16</f>
        <v>0</v>
      </c>
      <c r="H5" s="5">
        <f>'จัดสรร งปม.'!G16</f>
        <v>0</v>
      </c>
      <c r="I5" s="5">
        <f>'จัดสรร งปม.'!H16</f>
        <v>0</v>
      </c>
      <c r="J5" s="5">
        <f>'จัดสรร งปม.'!I16</f>
        <v>0</v>
      </c>
      <c r="K5" s="5">
        <f>'จัดสรร งปม.'!J16</f>
        <v>0</v>
      </c>
      <c r="L5" s="5">
        <f>'จัดสรร งปม.'!K16</f>
        <v>0</v>
      </c>
      <c r="M5" s="5">
        <f>'จัดสรร งปม.'!L16</f>
        <v>0</v>
      </c>
      <c r="N5" s="5">
        <f>'จัดสรร งปม.'!M16</f>
        <v>0</v>
      </c>
      <c r="O5" s="5">
        <f>'จัดสรร งปม.'!N16</f>
        <v>0</v>
      </c>
      <c r="P5" s="5">
        <f>'จัดสรร งปม.'!O16</f>
        <v>0</v>
      </c>
      <c r="Q5" s="5">
        <f>'จัดสรร งปม.'!P16</f>
        <v>110</v>
      </c>
    </row>
    <row r="6" spans="1:17" x14ac:dyDescent="0.2">
      <c r="D6" s="4" t="s">
        <v>97</v>
      </c>
      <c r="E6" s="5">
        <f>SUM(E11:E45)</f>
        <v>35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35</v>
      </c>
    </row>
    <row r="7" spans="1:17" x14ac:dyDescent="0.2">
      <c r="B7" s="68" t="s">
        <v>157</v>
      </c>
      <c r="C7" s="68"/>
      <c r="D7" s="4" t="s">
        <v>99</v>
      </c>
      <c r="E7" s="5">
        <f>E5-E6</f>
        <v>75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75</v>
      </c>
    </row>
    <row r="8" spans="1:17" x14ac:dyDescent="0.2">
      <c r="B8" s="4" t="s">
        <v>102</v>
      </c>
      <c r="C8" s="6">
        <f>'จัดสรร งปม.'!$B$16</f>
        <v>201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งปม.'!$C$16</f>
        <v>ค่าตอบแทนพิเศษพนักงานราชการ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C9:G9"/>
    <mergeCell ref="H9:M9"/>
    <mergeCell ref="O9:P9"/>
    <mergeCell ref="A1:B1"/>
    <mergeCell ref="E3:G3"/>
    <mergeCell ref="H3:M3"/>
    <mergeCell ref="O3:P3"/>
    <mergeCell ref="B7:C7"/>
  </mergeCells>
  <hyperlinks>
    <hyperlink ref="A1:B1" location="'จัดสรร งปม.'!A1" display="กลับไปที่หน้าจัดสรร งปม.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งปม.'!D17</f>
        <v>120</v>
      </c>
      <c r="F5" s="5">
        <f>'จัดสรร งปม.'!E17</f>
        <v>0</v>
      </c>
      <c r="G5" s="5">
        <f>'จัดสรร งปม.'!F17</f>
        <v>0</v>
      </c>
      <c r="H5" s="5">
        <f>'จัดสรร งปม.'!G17</f>
        <v>0</v>
      </c>
      <c r="I5" s="5">
        <f>'จัดสรร งปม.'!H17</f>
        <v>0</v>
      </c>
      <c r="J5" s="5">
        <f>'จัดสรร งปม.'!I17</f>
        <v>0</v>
      </c>
      <c r="K5" s="5">
        <f>'จัดสรร งปม.'!J17</f>
        <v>0</v>
      </c>
      <c r="L5" s="5">
        <f>'จัดสรร งปม.'!K17</f>
        <v>0</v>
      </c>
      <c r="M5" s="5">
        <f>'จัดสรร งปม.'!L17</f>
        <v>0</v>
      </c>
      <c r="N5" s="5">
        <f>'จัดสรร งปม.'!M17</f>
        <v>0</v>
      </c>
      <c r="O5" s="5">
        <f>'จัดสรร งปม.'!N17</f>
        <v>0</v>
      </c>
      <c r="P5" s="5">
        <f>'จัดสรร งปม.'!O17</f>
        <v>0</v>
      </c>
      <c r="Q5" s="5">
        <f>'จัดสรร งปม.'!P17</f>
        <v>120</v>
      </c>
    </row>
    <row r="6" spans="1:17" x14ac:dyDescent="0.2">
      <c r="D6" s="4" t="s">
        <v>97</v>
      </c>
      <c r="E6" s="5">
        <f>SUM(E11:E45)</f>
        <v>40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40</v>
      </c>
    </row>
    <row r="7" spans="1:17" x14ac:dyDescent="0.2">
      <c r="B7" s="68" t="s">
        <v>157</v>
      </c>
      <c r="C7" s="68"/>
      <c r="D7" s="4" t="s">
        <v>99</v>
      </c>
      <c r="E7" s="5">
        <f>E5-E6</f>
        <v>80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80</v>
      </c>
    </row>
    <row r="8" spans="1:17" x14ac:dyDescent="0.2">
      <c r="B8" s="4" t="s">
        <v>102</v>
      </c>
      <c r="C8" s="6">
        <f>'จัดสรร งปม.'!$B$17</f>
        <v>202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งปม.'!$C$17</f>
        <v>ค่าสอนเกินภาระงาน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C9:G9"/>
    <mergeCell ref="H9:M9"/>
    <mergeCell ref="O9:P9"/>
    <mergeCell ref="A1:B1"/>
    <mergeCell ref="E3:G3"/>
    <mergeCell ref="H3:M3"/>
    <mergeCell ref="O3:P3"/>
    <mergeCell ref="B7:C7"/>
  </mergeCells>
  <hyperlinks>
    <hyperlink ref="A1:B1" location="'จัดสรร งปม.'!A1" display="กลับไปที่หน้าจัดสรร งปม.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งปม.'!D18</f>
        <v>130</v>
      </c>
      <c r="F5" s="5">
        <f>'จัดสรร งปม.'!E18</f>
        <v>0</v>
      </c>
      <c r="G5" s="5">
        <f>'จัดสรร งปม.'!F18</f>
        <v>0</v>
      </c>
      <c r="H5" s="5">
        <f>'จัดสรร งปม.'!G18</f>
        <v>0</v>
      </c>
      <c r="I5" s="5">
        <f>'จัดสรร งปม.'!H18</f>
        <v>0</v>
      </c>
      <c r="J5" s="5">
        <f>'จัดสรร งปม.'!I18</f>
        <v>0</v>
      </c>
      <c r="K5" s="5">
        <f>'จัดสรร งปม.'!J18</f>
        <v>0</v>
      </c>
      <c r="L5" s="5">
        <f>'จัดสรร งปม.'!K18</f>
        <v>0</v>
      </c>
      <c r="M5" s="5">
        <f>'จัดสรร งปม.'!L18</f>
        <v>0</v>
      </c>
      <c r="N5" s="5">
        <f>'จัดสรร งปม.'!M18</f>
        <v>0</v>
      </c>
      <c r="O5" s="5">
        <f>'จัดสรร งปม.'!N18</f>
        <v>0</v>
      </c>
      <c r="P5" s="5">
        <f>'จัดสรร งปม.'!O18</f>
        <v>0</v>
      </c>
      <c r="Q5" s="5">
        <f>'จัดสรร งปม.'!P18</f>
        <v>130</v>
      </c>
    </row>
    <row r="6" spans="1:17" x14ac:dyDescent="0.2">
      <c r="D6" s="4" t="s">
        <v>97</v>
      </c>
      <c r="E6" s="5">
        <f>SUM(E11:E45)</f>
        <v>32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32</v>
      </c>
    </row>
    <row r="7" spans="1:17" x14ac:dyDescent="0.2">
      <c r="B7" s="68" t="s">
        <v>157</v>
      </c>
      <c r="C7" s="68"/>
      <c r="D7" s="4" t="s">
        <v>99</v>
      </c>
      <c r="E7" s="5">
        <f>E5-E6</f>
        <v>98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98</v>
      </c>
    </row>
    <row r="8" spans="1:17" x14ac:dyDescent="0.2">
      <c r="B8" s="4" t="s">
        <v>102</v>
      </c>
      <c r="C8" s="6">
        <f>'จัดสรร งปม.'!$B$18</f>
        <v>203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งปม.'!$C$18</f>
        <v>ค่าธุรการนอกเวลา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32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C9:G9"/>
    <mergeCell ref="H9:M9"/>
    <mergeCell ref="O9:P9"/>
    <mergeCell ref="A1:B1"/>
    <mergeCell ref="E3:G3"/>
    <mergeCell ref="H3:M3"/>
    <mergeCell ref="O3:P3"/>
    <mergeCell ref="B7:C7"/>
  </mergeCells>
  <hyperlinks>
    <hyperlink ref="A1:B1" location="'จัดสรร งปม.'!A1" display="กลับไปที่หน้าจัดสรร งปม.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งปม.'!D19</f>
        <v>140</v>
      </c>
      <c r="F5" s="5">
        <f>'จัดสรร งปม.'!E19</f>
        <v>0</v>
      </c>
      <c r="G5" s="5">
        <f>'จัดสรร งปม.'!F19</f>
        <v>0</v>
      </c>
      <c r="H5" s="5">
        <f>'จัดสรร งปม.'!G19</f>
        <v>0</v>
      </c>
      <c r="I5" s="5">
        <f>'จัดสรร งปม.'!H19</f>
        <v>0</v>
      </c>
      <c r="J5" s="5">
        <f>'จัดสรร งปม.'!I19</f>
        <v>0</v>
      </c>
      <c r="K5" s="5">
        <f>'จัดสรร งปม.'!J19</f>
        <v>0</v>
      </c>
      <c r="L5" s="5">
        <f>'จัดสรร งปม.'!K19</f>
        <v>0</v>
      </c>
      <c r="M5" s="5">
        <f>'จัดสรร งปม.'!L19</f>
        <v>0</v>
      </c>
      <c r="N5" s="5">
        <f>'จัดสรร งปม.'!M19</f>
        <v>0</v>
      </c>
      <c r="O5" s="5">
        <f>'จัดสรร งปม.'!N19</f>
        <v>0</v>
      </c>
      <c r="P5" s="5">
        <f>'จัดสรร งปม.'!O19</f>
        <v>0</v>
      </c>
      <c r="Q5" s="5">
        <f>'จัดสรร งปม.'!P19</f>
        <v>140</v>
      </c>
    </row>
    <row r="6" spans="1:17" x14ac:dyDescent="0.2">
      <c r="D6" s="4" t="s">
        <v>97</v>
      </c>
      <c r="E6" s="5">
        <f>SUM(E11:E45)</f>
        <v>33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33</v>
      </c>
    </row>
    <row r="7" spans="1:17" x14ac:dyDescent="0.2">
      <c r="B7" s="68" t="s">
        <v>157</v>
      </c>
      <c r="C7" s="68"/>
      <c r="D7" s="4" t="s">
        <v>99</v>
      </c>
      <c r="E7" s="5">
        <f>E5-E6</f>
        <v>107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107</v>
      </c>
    </row>
    <row r="8" spans="1:17" x14ac:dyDescent="0.2">
      <c r="B8" s="4" t="s">
        <v>102</v>
      </c>
      <c r="C8" s="6">
        <f>'จัดสรร งปม.'!$B$19</f>
        <v>204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งปม.'!$C$19</f>
        <v>ค่าสอนภาคฤดูร้อน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33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งปม.'!D20</f>
        <v>150</v>
      </c>
      <c r="F5" s="5">
        <f>'จัดสรร งปม.'!E20</f>
        <v>0</v>
      </c>
      <c r="G5" s="5">
        <f>'จัดสรร งปม.'!F20</f>
        <v>0</v>
      </c>
      <c r="H5" s="5">
        <f>'จัดสรร งปม.'!G20</f>
        <v>0</v>
      </c>
      <c r="I5" s="5">
        <f>'จัดสรร งปม.'!H20</f>
        <v>0</v>
      </c>
      <c r="J5" s="5">
        <f>'จัดสรร งปม.'!I20</f>
        <v>0</v>
      </c>
      <c r="K5" s="5">
        <f>'จัดสรร งปม.'!J20</f>
        <v>0</v>
      </c>
      <c r="L5" s="5">
        <f>'จัดสรร งปม.'!K20</f>
        <v>0</v>
      </c>
      <c r="M5" s="5">
        <f>'จัดสรร งปม.'!L20</f>
        <v>0</v>
      </c>
      <c r="N5" s="5">
        <f>'จัดสรร งปม.'!M20</f>
        <v>0</v>
      </c>
      <c r="O5" s="5">
        <f>'จัดสรร งปม.'!N20</f>
        <v>0</v>
      </c>
      <c r="P5" s="5">
        <f>'จัดสรร งปม.'!O20</f>
        <v>0</v>
      </c>
      <c r="Q5" s="5">
        <f>'จัดสรร งปม.'!P20</f>
        <v>150</v>
      </c>
    </row>
    <row r="6" spans="1:17" x14ac:dyDescent="0.2">
      <c r="D6" s="4" t="s">
        <v>97</v>
      </c>
      <c r="E6" s="5">
        <f>SUM(E11:E45)</f>
        <v>32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32</v>
      </c>
    </row>
    <row r="7" spans="1:17" x14ac:dyDescent="0.2">
      <c r="B7" s="68" t="s">
        <v>157</v>
      </c>
      <c r="C7" s="68"/>
      <c r="D7" s="4" t="s">
        <v>99</v>
      </c>
      <c r="E7" s="5">
        <f>E5-E6</f>
        <v>118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118</v>
      </c>
    </row>
    <row r="8" spans="1:17" x14ac:dyDescent="0.2">
      <c r="B8" s="4" t="s">
        <v>102</v>
      </c>
      <c r="C8" s="6">
        <f>'จัดสรร งปม.'!$B$20</f>
        <v>205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งปม.'!$C$20</f>
        <v>ค่าสอนเทียบโอน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32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งปม.'!D21</f>
        <v>160</v>
      </c>
      <c r="F5" s="5">
        <f>'จัดสรร งปม.'!E21</f>
        <v>0</v>
      </c>
      <c r="G5" s="5">
        <f>'จัดสรร งปม.'!F21</f>
        <v>0</v>
      </c>
      <c r="H5" s="5">
        <f>'จัดสรร งปม.'!G21</f>
        <v>0</v>
      </c>
      <c r="I5" s="5">
        <f>'จัดสรร งปม.'!H21</f>
        <v>0</v>
      </c>
      <c r="J5" s="5">
        <f>'จัดสรร งปม.'!I21</f>
        <v>0</v>
      </c>
      <c r="K5" s="5">
        <f>'จัดสรร งปม.'!J21</f>
        <v>0</v>
      </c>
      <c r="L5" s="5">
        <f>'จัดสรร งปม.'!K21</f>
        <v>0</v>
      </c>
      <c r="M5" s="5">
        <f>'จัดสรร งปม.'!L21</f>
        <v>0</v>
      </c>
      <c r="N5" s="5">
        <f>'จัดสรร งปม.'!M21</f>
        <v>0</v>
      </c>
      <c r="O5" s="5">
        <f>'จัดสรร งปม.'!N21</f>
        <v>0</v>
      </c>
      <c r="P5" s="5">
        <f>'จัดสรร งปม.'!O21</f>
        <v>0</v>
      </c>
      <c r="Q5" s="5">
        <f>'จัดสรร งปม.'!P21</f>
        <v>160</v>
      </c>
    </row>
    <row r="6" spans="1:17" x14ac:dyDescent="0.2">
      <c r="D6" s="4" t="s">
        <v>97</v>
      </c>
      <c r="E6" s="5">
        <f>SUM(E11:E45)</f>
        <v>30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30</v>
      </c>
    </row>
    <row r="7" spans="1:17" x14ac:dyDescent="0.2">
      <c r="B7" s="68" t="s">
        <v>157</v>
      </c>
      <c r="C7" s="68"/>
      <c r="D7" s="4" t="s">
        <v>99</v>
      </c>
      <c r="E7" s="5">
        <f>E5-E6</f>
        <v>130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130</v>
      </c>
    </row>
    <row r="8" spans="1:17" x14ac:dyDescent="0.2">
      <c r="B8" s="4" t="s">
        <v>102</v>
      </c>
      <c r="C8" s="6">
        <f>'จัดสรร งปม.'!$B$21</f>
        <v>206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งปม.'!$C$21</f>
        <v>ค่าจ้างครูรายเดือน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งปม.'!D22</f>
        <v>170</v>
      </c>
      <c r="F5" s="5">
        <f>'จัดสรร งปม.'!E22</f>
        <v>0</v>
      </c>
      <c r="G5" s="5">
        <f>'จัดสรร งปม.'!F22</f>
        <v>0</v>
      </c>
      <c r="H5" s="5">
        <f>'จัดสรร งปม.'!G22</f>
        <v>0</v>
      </c>
      <c r="I5" s="5">
        <f>'จัดสรร งปม.'!H22</f>
        <v>0</v>
      </c>
      <c r="J5" s="5">
        <f>'จัดสรร งปม.'!I22</f>
        <v>0</v>
      </c>
      <c r="K5" s="5">
        <f>'จัดสรร งปม.'!J22</f>
        <v>0</v>
      </c>
      <c r="L5" s="5">
        <f>'จัดสรร งปม.'!K22</f>
        <v>0</v>
      </c>
      <c r="M5" s="5">
        <f>'จัดสรร งปม.'!L22</f>
        <v>0</v>
      </c>
      <c r="N5" s="5">
        <f>'จัดสรร งปม.'!M22</f>
        <v>0</v>
      </c>
      <c r="O5" s="5">
        <f>'จัดสรร งปม.'!N22</f>
        <v>0</v>
      </c>
      <c r="P5" s="5">
        <f>'จัดสรร งปม.'!O22</f>
        <v>0</v>
      </c>
      <c r="Q5" s="5">
        <f>'จัดสรร งปม.'!P22</f>
        <v>170</v>
      </c>
    </row>
    <row r="6" spans="1:17" x14ac:dyDescent="0.2">
      <c r="D6" s="4" t="s">
        <v>97</v>
      </c>
      <c r="E6" s="5">
        <f>SUM(E11:E45)</f>
        <v>70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70</v>
      </c>
    </row>
    <row r="7" spans="1:17" x14ac:dyDescent="0.2">
      <c r="B7" s="68" t="s">
        <v>157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งปม.'!$B$22</f>
        <v>207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งปม.'!$C$22</f>
        <v>ค่าจ้างเจ้าหน้าที่รายเดือน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70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70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งปม.'!D23</f>
        <v>180</v>
      </c>
      <c r="F5" s="5">
        <f>'จัดสรร งปม.'!E23</f>
        <v>0</v>
      </c>
      <c r="G5" s="5">
        <f>'จัดสรร งปม.'!F23</f>
        <v>0</v>
      </c>
      <c r="H5" s="5">
        <f>'จัดสรร งปม.'!G23</f>
        <v>0</v>
      </c>
      <c r="I5" s="5">
        <f>'จัดสรร งปม.'!H23</f>
        <v>0</v>
      </c>
      <c r="J5" s="5">
        <f>'จัดสรร งปม.'!I23</f>
        <v>0</v>
      </c>
      <c r="K5" s="5">
        <f>'จัดสรร งปม.'!J23</f>
        <v>0</v>
      </c>
      <c r="L5" s="5">
        <f>'จัดสรร งปม.'!K23</f>
        <v>0</v>
      </c>
      <c r="M5" s="5">
        <f>'จัดสรร งปม.'!L23</f>
        <v>0</v>
      </c>
      <c r="N5" s="5">
        <f>'จัดสรร งปม.'!M23</f>
        <v>0</v>
      </c>
      <c r="O5" s="5">
        <f>'จัดสรร งปม.'!N23</f>
        <v>0</v>
      </c>
      <c r="P5" s="5">
        <f>'จัดสรร งปม.'!O23</f>
        <v>0</v>
      </c>
      <c r="Q5" s="5">
        <f>'จัดสรร งปม.'!P23</f>
        <v>180</v>
      </c>
    </row>
    <row r="6" spans="1:17" x14ac:dyDescent="0.2">
      <c r="D6" s="4" t="s">
        <v>97</v>
      </c>
      <c r="E6" s="5">
        <f>SUM(E11:E45)</f>
        <v>80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80</v>
      </c>
    </row>
    <row r="7" spans="1:17" x14ac:dyDescent="0.2">
      <c r="B7" s="68" t="s">
        <v>157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งปม.'!$B$23</f>
        <v>208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งปม.'!$C$23</f>
        <v>ค่าครองชีพครูรายเดือน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80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80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งปม.'!D24</f>
        <v>190</v>
      </c>
      <c r="F5" s="5">
        <f>'จัดสรร งปม.'!E24</f>
        <v>0</v>
      </c>
      <c r="G5" s="5">
        <f>'จัดสรร งปม.'!F24</f>
        <v>0</v>
      </c>
      <c r="H5" s="5">
        <f>'จัดสรร งปม.'!G24</f>
        <v>0</v>
      </c>
      <c r="I5" s="5">
        <f>'จัดสรร งปม.'!H24</f>
        <v>0</v>
      </c>
      <c r="J5" s="5">
        <f>'จัดสรร งปม.'!I24</f>
        <v>0</v>
      </c>
      <c r="K5" s="5">
        <f>'จัดสรร งปม.'!J24</f>
        <v>0</v>
      </c>
      <c r="L5" s="5">
        <f>'จัดสรร งปม.'!K24</f>
        <v>0</v>
      </c>
      <c r="M5" s="5">
        <f>'จัดสรร งปม.'!L24</f>
        <v>0</v>
      </c>
      <c r="N5" s="5">
        <f>'จัดสรร งปม.'!M24</f>
        <v>0</v>
      </c>
      <c r="O5" s="5">
        <f>'จัดสรร งปม.'!N24</f>
        <v>0</v>
      </c>
      <c r="P5" s="5">
        <f>'จัดสรร งปม.'!O24</f>
        <v>0</v>
      </c>
      <c r="Q5" s="5">
        <f>'จัดสรร งปม.'!P24</f>
        <v>190</v>
      </c>
    </row>
    <row r="6" spans="1:17" x14ac:dyDescent="0.2">
      <c r="D6" s="4" t="s">
        <v>97</v>
      </c>
      <c r="E6" s="5">
        <f>SUM(E11:E45)</f>
        <v>90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90</v>
      </c>
    </row>
    <row r="7" spans="1:17" x14ac:dyDescent="0.2">
      <c r="B7" s="68" t="s">
        <v>157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งปม.'!$B$24</f>
        <v>209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งปม.'!$C$24</f>
        <v>ค่าครองชีพเจ้าหน้าที่รายเดือน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90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90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งปม.'!D25</f>
        <v>200</v>
      </c>
      <c r="F5" s="5">
        <f>'จัดสรร งปม.'!E25</f>
        <v>0</v>
      </c>
      <c r="G5" s="5">
        <f>'จัดสรร งปม.'!F25</f>
        <v>0</v>
      </c>
      <c r="H5" s="5">
        <f>'จัดสรร งปม.'!G25</f>
        <v>0</v>
      </c>
      <c r="I5" s="5">
        <f>'จัดสรร งปม.'!H25</f>
        <v>0</v>
      </c>
      <c r="J5" s="5">
        <f>'จัดสรร งปม.'!I25</f>
        <v>0</v>
      </c>
      <c r="K5" s="5">
        <f>'จัดสรร งปม.'!J25</f>
        <v>0</v>
      </c>
      <c r="L5" s="5">
        <f>'จัดสรร งปม.'!K25</f>
        <v>0</v>
      </c>
      <c r="M5" s="5">
        <f>'จัดสรร งปม.'!L25</f>
        <v>0</v>
      </c>
      <c r="N5" s="5">
        <f>'จัดสรร งปม.'!M25</f>
        <v>0</v>
      </c>
      <c r="O5" s="5">
        <f>'จัดสรร งปม.'!N25</f>
        <v>0</v>
      </c>
      <c r="P5" s="5">
        <f>'จัดสรร งปม.'!O25</f>
        <v>0</v>
      </c>
      <c r="Q5" s="5">
        <f>'จัดสรร งปม.'!P25</f>
        <v>200</v>
      </c>
    </row>
    <row r="6" spans="1:17" x14ac:dyDescent="0.2">
      <c r="D6" s="4" t="s">
        <v>97</v>
      </c>
      <c r="E6" s="5">
        <f>SUM(E11:E45)</f>
        <v>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</v>
      </c>
    </row>
    <row r="7" spans="1:17" x14ac:dyDescent="0.2">
      <c r="B7" s="68" t="s">
        <v>157</v>
      </c>
      <c r="C7" s="68"/>
      <c r="D7" s="4" t="s">
        <v>99</v>
      </c>
      <c r="E7" s="5">
        <f>E5-E6</f>
        <v>150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150</v>
      </c>
    </row>
    <row r="8" spans="1:17" x14ac:dyDescent="0.2">
      <c r="B8" s="4" t="s">
        <v>102</v>
      </c>
      <c r="C8" s="6">
        <f>'จัดสรร งปม.'!$B$25</f>
        <v>210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งปม.'!$C$25</f>
        <v>สำรอง 1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งปม.'!D26</f>
        <v>210</v>
      </c>
      <c r="F5" s="5">
        <f>'จัดสรร งปม.'!E26</f>
        <v>0</v>
      </c>
      <c r="G5" s="5">
        <f>'จัดสรร งปม.'!F26</f>
        <v>0</v>
      </c>
      <c r="H5" s="5">
        <f>'จัดสรร งปม.'!G26</f>
        <v>0</v>
      </c>
      <c r="I5" s="5">
        <f>'จัดสรร งปม.'!H26</f>
        <v>0</v>
      </c>
      <c r="J5" s="5">
        <f>'จัดสรร งปม.'!I26</f>
        <v>0</v>
      </c>
      <c r="K5" s="5">
        <f>'จัดสรร งปม.'!J26</f>
        <v>0</v>
      </c>
      <c r="L5" s="5">
        <f>'จัดสรร งปม.'!K26</f>
        <v>0</v>
      </c>
      <c r="M5" s="5">
        <f>'จัดสรร งปม.'!L26</f>
        <v>0</v>
      </c>
      <c r="N5" s="5">
        <f>'จัดสรร งปม.'!M26</f>
        <v>0</v>
      </c>
      <c r="O5" s="5">
        <f>'จัดสรร งปม.'!N26</f>
        <v>0</v>
      </c>
      <c r="P5" s="5">
        <f>'จัดสรร งปม.'!O26</f>
        <v>0</v>
      </c>
      <c r="Q5" s="5">
        <f>'จัดสรร งปม.'!P26</f>
        <v>210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68" t="s">
        <v>157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งปม.'!$B$26</f>
        <v>211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งปม.'!$C$26</f>
        <v>สำรอง 2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งปม.'!D27</f>
        <v>220</v>
      </c>
      <c r="F5" s="5">
        <f>'จัดสรร งปม.'!E27</f>
        <v>0</v>
      </c>
      <c r="G5" s="5">
        <f>'จัดสรร งปม.'!F27</f>
        <v>0</v>
      </c>
      <c r="H5" s="5">
        <f>'จัดสรร งปม.'!G27</f>
        <v>0</v>
      </c>
      <c r="I5" s="5">
        <f>'จัดสรร งปม.'!H27</f>
        <v>0</v>
      </c>
      <c r="J5" s="5">
        <f>'จัดสรร งปม.'!I27</f>
        <v>0</v>
      </c>
      <c r="K5" s="5">
        <f>'จัดสรร งปม.'!J27</f>
        <v>0</v>
      </c>
      <c r="L5" s="5">
        <f>'จัดสรร งปม.'!K27</f>
        <v>0</v>
      </c>
      <c r="M5" s="5">
        <f>'จัดสรร งปม.'!L27</f>
        <v>0</v>
      </c>
      <c r="N5" s="5">
        <f>'จัดสรร งปม.'!M27</f>
        <v>0</v>
      </c>
      <c r="O5" s="5">
        <f>'จัดสรร งปม.'!N27</f>
        <v>0</v>
      </c>
      <c r="P5" s="5">
        <f>'จัดสรร งปม.'!O27</f>
        <v>0</v>
      </c>
      <c r="Q5" s="5">
        <f>'จัดสรร งปม.'!P27</f>
        <v>220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68" t="s">
        <v>157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งปม.'!$B$27</f>
        <v>212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งปม.'!$C$27</f>
        <v>สำรอง 3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งปม.'!D28</f>
        <v>230</v>
      </c>
      <c r="F5" s="5">
        <f>'จัดสรร งปม.'!E28</f>
        <v>0</v>
      </c>
      <c r="G5" s="5">
        <f>'จัดสรร งปม.'!F28</f>
        <v>0</v>
      </c>
      <c r="H5" s="5">
        <f>'จัดสรร งปม.'!G28</f>
        <v>0</v>
      </c>
      <c r="I5" s="5">
        <f>'จัดสรร งปม.'!H28</f>
        <v>0</v>
      </c>
      <c r="J5" s="5">
        <f>'จัดสรร งปม.'!I28</f>
        <v>0</v>
      </c>
      <c r="K5" s="5">
        <f>'จัดสรร งปม.'!J28</f>
        <v>0</v>
      </c>
      <c r="L5" s="5">
        <f>'จัดสรร งปม.'!K28</f>
        <v>0</v>
      </c>
      <c r="M5" s="5">
        <f>'จัดสรร งปม.'!L28</f>
        <v>0</v>
      </c>
      <c r="N5" s="5">
        <f>'จัดสรร งปม.'!M28</f>
        <v>0</v>
      </c>
      <c r="O5" s="5">
        <f>'จัดสรร งปม.'!N28</f>
        <v>0</v>
      </c>
      <c r="P5" s="5">
        <f>'จัดสรร งปม.'!O28</f>
        <v>0</v>
      </c>
      <c r="Q5" s="5">
        <f>'จัดสรร งปม.'!P28</f>
        <v>230</v>
      </c>
    </row>
    <row r="6" spans="1:17" x14ac:dyDescent="0.2">
      <c r="D6" s="4" t="s">
        <v>97</v>
      </c>
      <c r="E6" s="5">
        <f>SUM(E11:E45)</f>
        <v>30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30</v>
      </c>
    </row>
    <row r="7" spans="1:17" x14ac:dyDescent="0.2">
      <c r="B7" s="68" t="s">
        <v>157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งปม.'!$B$28</f>
        <v>213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งปม.'!$C$28</f>
        <v>สำรอง 4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งปม.'!D29</f>
        <v>240</v>
      </c>
      <c r="F5" s="5">
        <f>'จัดสรร งปม.'!E29</f>
        <v>0</v>
      </c>
      <c r="G5" s="5">
        <f>'จัดสรร งปม.'!F29</f>
        <v>0</v>
      </c>
      <c r="H5" s="5">
        <f>'จัดสรร งปม.'!G29</f>
        <v>0</v>
      </c>
      <c r="I5" s="5">
        <f>'จัดสรร งปม.'!H29</f>
        <v>0</v>
      </c>
      <c r="J5" s="5">
        <f>'จัดสรร งปม.'!I29</f>
        <v>0</v>
      </c>
      <c r="K5" s="5">
        <f>'จัดสรร งปม.'!J29</f>
        <v>0</v>
      </c>
      <c r="L5" s="5">
        <f>'จัดสรร งปม.'!K29</f>
        <v>0</v>
      </c>
      <c r="M5" s="5">
        <f>'จัดสรร งปม.'!L29</f>
        <v>0</v>
      </c>
      <c r="N5" s="5">
        <f>'จัดสรร งปม.'!M29</f>
        <v>0</v>
      </c>
      <c r="O5" s="5">
        <f>'จัดสรร งปม.'!N29</f>
        <v>0</v>
      </c>
      <c r="P5" s="5">
        <f>'จัดสรร งปม.'!O29</f>
        <v>0</v>
      </c>
      <c r="Q5" s="5">
        <f>'จัดสรร งปม.'!P29</f>
        <v>240</v>
      </c>
    </row>
    <row r="6" spans="1:17" x14ac:dyDescent="0.2">
      <c r="D6" s="4" t="s">
        <v>97</v>
      </c>
      <c r="E6" s="5">
        <f>SUM(E11:E45)</f>
        <v>40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40</v>
      </c>
    </row>
    <row r="7" spans="1:17" x14ac:dyDescent="0.2">
      <c r="B7" s="68" t="s">
        <v>157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งปม.'!$B$29</f>
        <v>214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งปม.'!$C$29</f>
        <v>สำรอง 5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Q3:Q4"/>
    <mergeCell ref="B7:C7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งปม.'!D31</f>
        <v>110</v>
      </c>
      <c r="F5" s="5">
        <f>'จัดสรร งปม.'!E31</f>
        <v>0</v>
      </c>
      <c r="G5" s="5">
        <f>'จัดสรร งปม.'!F31</f>
        <v>0</v>
      </c>
      <c r="H5" s="5">
        <f>'จัดสรร งปม.'!G31</f>
        <v>0</v>
      </c>
      <c r="I5" s="5">
        <f>'จัดสรร งปม.'!H31</f>
        <v>0</v>
      </c>
      <c r="J5" s="5">
        <f>'จัดสรร งปม.'!I31</f>
        <v>0</v>
      </c>
      <c r="K5" s="5">
        <f>'จัดสรร งปม.'!J31</f>
        <v>0</v>
      </c>
      <c r="L5" s="5">
        <f>'จัดสรร งปม.'!K31</f>
        <v>0</v>
      </c>
      <c r="M5" s="5">
        <f>'จัดสรร งปม.'!L31</f>
        <v>0</v>
      </c>
      <c r="N5" s="5">
        <f>'จัดสรร งปม.'!M31</f>
        <v>0</v>
      </c>
      <c r="O5" s="5">
        <f>'จัดสรร งปม.'!N31</f>
        <v>0</v>
      </c>
      <c r="P5" s="5">
        <f>'จัดสรร งปม.'!O31</f>
        <v>0</v>
      </c>
      <c r="Q5" s="5">
        <f>'จัดสรร งปม.'!P31</f>
        <v>110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68" t="s">
        <v>158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งปม.'!$B$31</f>
        <v>301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งปม.'!$C$31</f>
        <v>ค่าจ้างซ่อมครุภัณฑ์การศึกษาและสำนักงาน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งปม.'!D32</f>
        <v>120</v>
      </c>
      <c r="F5" s="5">
        <f>'จัดสรร งปม.'!E32</f>
        <v>0</v>
      </c>
      <c r="G5" s="5">
        <f>'จัดสรร งปม.'!F32</f>
        <v>0</v>
      </c>
      <c r="H5" s="5">
        <f>'จัดสรร งปม.'!G32</f>
        <v>0</v>
      </c>
      <c r="I5" s="5">
        <f>'จัดสรร งปม.'!H32</f>
        <v>0</v>
      </c>
      <c r="J5" s="5">
        <f>'จัดสรร งปม.'!I32</f>
        <v>0</v>
      </c>
      <c r="K5" s="5">
        <f>'จัดสรร งปม.'!J32</f>
        <v>0</v>
      </c>
      <c r="L5" s="5">
        <f>'จัดสรร งปม.'!K32</f>
        <v>0</v>
      </c>
      <c r="M5" s="5">
        <f>'จัดสรร งปม.'!L32</f>
        <v>0</v>
      </c>
      <c r="N5" s="5">
        <f>'จัดสรร งปม.'!M32</f>
        <v>0</v>
      </c>
      <c r="O5" s="5">
        <f>'จัดสรร งปม.'!N32</f>
        <v>0</v>
      </c>
      <c r="P5" s="5">
        <f>'จัดสรร งปม.'!O32</f>
        <v>0</v>
      </c>
      <c r="Q5" s="5">
        <f>'จัดสรร งปม.'!P32</f>
        <v>120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68" t="s">
        <v>158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งปม.'!$B$32</f>
        <v>302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งปม.'!$C$32</f>
        <v>ค่าซ่อมยานพาหนะ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งปม.'!D33</f>
        <v>130</v>
      </c>
      <c r="F5" s="5">
        <f>'จัดสรร งปม.'!E33</f>
        <v>0</v>
      </c>
      <c r="G5" s="5">
        <f>'จัดสรร งปม.'!F33</f>
        <v>0</v>
      </c>
      <c r="H5" s="5">
        <f>'จัดสรร งปม.'!G33</f>
        <v>0</v>
      </c>
      <c r="I5" s="5">
        <f>'จัดสรร งปม.'!H33</f>
        <v>0</v>
      </c>
      <c r="J5" s="5">
        <f>'จัดสรร งปม.'!I33</f>
        <v>0</v>
      </c>
      <c r="K5" s="5">
        <f>'จัดสรร งปม.'!J33</f>
        <v>0</v>
      </c>
      <c r="L5" s="5">
        <f>'จัดสรร งปม.'!K33</f>
        <v>0</v>
      </c>
      <c r="M5" s="5">
        <f>'จัดสรร งปม.'!L33</f>
        <v>0</v>
      </c>
      <c r="N5" s="5">
        <f>'จัดสรร งปม.'!M33</f>
        <v>0</v>
      </c>
      <c r="O5" s="5">
        <f>'จัดสรร งปม.'!N33</f>
        <v>0</v>
      </c>
      <c r="P5" s="5">
        <f>'จัดสรร งปม.'!O33</f>
        <v>0</v>
      </c>
      <c r="Q5" s="5">
        <f>'จัดสรร งปม.'!P33</f>
        <v>130</v>
      </c>
    </row>
    <row r="6" spans="1:17" x14ac:dyDescent="0.2">
      <c r="D6" s="4" t="s">
        <v>97</v>
      </c>
      <c r="E6" s="5">
        <f>SUM(E11:E45)</f>
        <v>30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30</v>
      </c>
    </row>
    <row r="7" spans="1:17" x14ac:dyDescent="0.2">
      <c r="B7" s="68" t="s">
        <v>158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งปม.'!$B$33</f>
        <v>303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งปม.'!$C$33</f>
        <v>ค่าจ้างติดตั้ง ซ่อมแซมระบบสาธารณูปโภค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19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งปม.'!D34</f>
        <v>140</v>
      </c>
      <c r="F5" s="5">
        <f>'จัดสรร งปม.'!E34</f>
        <v>0</v>
      </c>
      <c r="G5" s="5">
        <f>'จัดสรร งปม.'!F34</f>
        <v>0</v>
      </c>
      <c r="H5" s="5">
        <f>'จัดสรร งปม.'!G34</f>
        <v>0</v>
      </c>
      <c r="I5" s="5">
        <f>'จัดสรร งปม.'!H34</f>
        <v>0</v>
      </c>
      <c r="J5" s="5">
        <f>'จัดสรร งปม.'!I34</f>
        <v>0</v>
      </c>
      <c r="K5" s="5">
        <f>'จัดสรร งปม.'!J34</f>
        <v>0</v>
      </c>
      <c r="L5" s="5">
        <f>'จัดสรร งปม.'!K34</f>
        <v>0</v>
      </c>
      <c r="M5" s="5">
        <f>'จัดสรร งปม.'!L34</f>
        <v>0</v>
      </c>
      <c r="N5" s="5">
        <f>'จัดสรร งปม.'!M34</f>
        <v>0</v>
      </c>
      <c r="O5" s="5">
        <f>'จัดสรร งปม.'!N34</f>
        <v>0</v>
      </c>
      <c r="P5" s="5">
        <f>'จัดสรร งปม.'!O34</f>
        <v>0</v>
      </c>
      <c r="Q5" s="5">
        <f>'จัดสรร งปม.'!P34</f>
        <v>140</v>
      </c>
    </row>
    <row r="6" spans="1:17" x14ac:dyDescent="0.2">
      <c r="D6" s="4" t="s">
        <v>97</v>
      </c>
      <c r="E6" s="5">
        <f>SUM(E11:E45)</f>
        <v>40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40</v>
      </c>
    </row>
    <row r="7" spans="1:17" x14ac:dyDescent="0.2">
      <c r="B7" s="68" t="s">
        <v>158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งปม.'!$B$34</f>
        <v>304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งปม.'!$C$34</f>
        <v>ค่าจ้างซ่อมอาคารสถานที่/พัฒนาสิ่งแวดล้อม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งปม.'!D35</f>
        <v>150</v>
      </c>
      <c r="F5" s="5">
        <f>'จัดสรร งปม.'!E35</f>
        <v>0</v>
      </c>
      <c r="G5" s="5">
        <f>'จัดสรร งปม.'!F35</f>
        <v>0</v>
      </c>
      <c r="H5" s="5">
        <f>'จัดสรร งปม.'!G35</f>
        <v>0</v>
      </c>
      <c r="I5" s="5">
        <f>'จัดสรร งปม.'!H35</f>
        <v>0</v>
      </c>
      <c r="J5" s="5">
        <f>'จัดสรร งปม.'!I35</f>
        <v>0</v>
      </c>
      <c r="K5" s="5">
        <f>'จัดสรร งปม.'!J35</f>
        <v>0</v>
      </c>
      <c r="L5" s="5">
        <f>'จัดสรร งปม.'!K35</f>
        <v>0</v>
      </c>
      <c r="M5" s="5">
        <f>'จัดสรร งปม.'!L35</f>
        <v>0</v>
      </c>
      <c r="N5" s="5">
        <f>'จัดสรร งปม.'!M35</f>
        <v>0</v>
      </c>
      <c r="O5" s="5">
        <f>'จัดสรร งปม.'!N35</f>
        <v>0</v>
      </c>
      <c r="P5" s="5">
        <f>'จัดสรร งปม.'!O35</f>
        <v>0</v>
      </c>
      <c r="Q5" s="5">
        <f>'จัดสรร งปม.'!P35</f>
        <v>150</v>
      </c>
    </row>
    <row r="6" spans="1:17" x14ac:dyDescent="0.2">
      <c r="D6" s="4" t="s">
        <v>97</v>
      </c>
      <c r="E6" s="5">
        <f>SUM(E11:E45)</f>
        <v>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</v>
      </c>
    </row>
    <row r="7" spans="1:17" x14ac:dyDescent="0.2">
      <c r="B7" s="68" t="s">
        <v>158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งปม.'!$B$35</f>
        <v>305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งปม.'!$C$35</f>
        <v>ค่าเบี้ยเลี้ยง พาหนะเดิอนทาง และที่พัก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1B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งปม.'!D36</f>
        <v>160</v>
      </c>
      <c r="F5" s="5">
        <f>'จัดสรร งปม.'!E36</f>
        <v>0</v>
      </c>
      <c r="G5" s="5">
        <f>'จัดสรร งปม.'!F36</f>
        <v>0</v>
      </c>
      <c r="H5" s="5">
        <f>'จัดสรร งปม.'!G36</f>
        <v>0</v>
      </c>
      <c r="I5" s="5">
        <f>'จัดสรร งปม.'!H36</f>
        <v>0</v>
      </c>
      <c r="J5" s="5">
        <f>'จัดสรร งปม.'!I36</f>
        <v>0</v>
      </c>
      <c r="K5" s="5">
        <f>'จัดสรร งปม.'!J36</f>
        <v>0</v>
      </c>
      <c r="L5" s="5">
        <f>'จัดสรร งปม.'!K36</f>
        <v>0</v>
      </c>
      <c r="M5" s="5">
        <f>'จัดสรร งปม.'!L36</f>
        <v>0</v>
      </c>
      <c r="N5" s="5">
        <f>'จัดสรร งปม.'!M36</f>
        <v>0</v>
      </c>
      <c r="O5" s="5">
        <f>'จัดสรร งปม.'!N36</f>
        <v>0</v>
      </c>
      <c r="P5" s="5">
        <f>'จัดสรร งปม.'!O36</f>
        <v>0</v>
      </c>
      <c r="Q5" s="5">
        <f>'จัดสรร งปม.'!P36</f>
        <v>160</v>
      </c>
    </row>
    <row r="6" spans="1:17" x14ac:dyDescent="0.2">
      <c r="D6" s="4" t="s">
        <v>97</v>
      </c>
      <c r="E6" s="5">
        <f>SUM(E11:E45)</f>
        <v>60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60</v>
      </c>
    </row>
    <row r="7" spans="1:17" x14ac:dyDescent="0.2">
      <c r="B7" s="68" t="s">
        <v>158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งปม.'!$B$36</f>
        <v>306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งปม.'!$C$36</f>
        <v>ค่าสมทบประกันสังคม(พนักงานราชการ)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60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60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งปม.'!D37</f>
        <v>170</v>
      </c>
      <c r="F5" s="5">
        <f>'จัดสรร งปม.'!E37</f>
        <v>0</v>
      </c>
      <c r="G5" s="5">
        <f>'จัดสรร งปม.'!F37</f>
        <v>0</v>
      </c>
      <c r="H5" s="5">
        <f>'จัดสรร งปม.'!G37</f>
        <v>0</v>
      </c>
      <c r="I5" s="5">
        <f>'จัดสรร งปม.'!H37</f>
        <v>0</v>
      </c>
      <c r="J5" s="5">
        <f>'จัดสรร งปม.'!I37</f>
        <v>0</v>
      </c>
      <c r="K5" s="5">
        <f>'จัดสรร งปม.'!J37</f>
        <v>0</v>
      </c>
      <c r="L5" s="5">
        <f>'จัดสรร งปม.'!K37</f>
        <v>0</v>
      </c>
      <c r="M5" s="5">
        <f>'จัดสรร งปม.'!L37</f>
        <v>0</v>
      </c>
      <c r="N5" s="5">
        <f>'จัดสรร งปม.'!M37</f>
        <v>0</v>
      </c>
      <c r="O5" s="5">
        <f>'จัดสรร งปม.'!N37</f>
        <v>0</v>
      </c>
      <c r="P5" s="5">
        <f>'จัดสรร งปม.'!O37</f>
        <v>0</v>
      </c>
      <c r="Q5" s="5">
        <f>'จัดสรร งปม.'!P37</f>
        <v>170</v>
      </c>
    </row>
    <row r="6" spans="1:17" x14ac:dyDescent="0.2">
      <c r="D6" s="4" t="s">
        <v>97</v>
      </c>
      <c r="E6" s="5">
        <f>SUM(E11:E45)</f>
        <v>70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70</v>
      </c>
    </row>
    <row r="7" spans="1:17" x14ac:dyDescent="0.2">
      <c r="B7" s="68" t="s">
        <v>158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งปม.'!$B$37</f>
        <v>307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งปม.'!$C$37</f>
        <v>ค่าสมทบประกันสังคม(ครูรายเดือน)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70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70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1D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งปม.'!D38</f>
        <v>180</v>
      </c>
      <c r="F5" s="5">
        <f>'จัดสรร งปม.'!E38</f>
        <v>0</v>
      </c>
      <c r="G5" s="5">
        <f>'จัดสรร งปม.'!F38</f>
        <v>0</v>
      </c>
      <c r="H5" s="5">
        <f>'จัดสรร งปม.'!G38</f>
        <v>0</v>
      </c>
      <c r="I5" s="5">
        <f>'จัดสรร งปม.'!H38</f>
        <v>0</v>
      </c>
      <c r="J5" s="5">
        <f>'จัดสรร งปม.'!I38</f>
        <v>0</v>
      </c>
      <c r="K5" s="5">
        <f>'จัดสรร งปม.'!J38</f>
        <v>0</v>
      </c>
      <c r="L5" s="5">
        <f>'จัดสรร งปม.'!K38</f>
        <v>0</v>
      </c>
      <c r="M5" s="5">
        <f>'จัดสรร งปม.'!L38</f>
        <v>0</v>
      </c>
      <c r="N5" s="5">
        <f>'จัดสรร งปม.'!M38</f>
        <v>0</v>
      </c>
      <c r="O5" s="5">
        <f>'จัดสรร งปม.'!N38</f>
        <v>0</v>
      </c>
      <c r="P5" s="5">
        <f>'จัดสรร งปม.'!O38</f>
        <v>0</v>
      </c>
      <c r="Q5" s="5">
        <f>'จัดสรร งปม.'!P38</f>
        <v>180</v>
      </c>
    </row>
    <row r="6" spans="1:17" x14ac:dyDescent="0.2">
      <c r="D6" s="4" t="s">
        <v>97</v>
      </c>
      <c r="E6" s="5">
        <f>SUM(E11:E45)</f>
        <v>80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80</v>
      </c>
    </row>
    <row r="7" spans="1:17" x14ac:dyDescent="0.2">
      <c r="B7" s="68" t="s">
        <v>158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งปม.'!$B$38</f>
        <v>308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งปม.'!$C$38</f>
        <v>ค่าสมทบประกันสังคม(เจ้าหน้าที่รายเดือน)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80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80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งปม.'!D39</f>
        <v>190</v>
      </c>
      <c r="F5" s="5">
        <f>'จัดสรร งปม.'!E39</f>
        <v>0</v>
      </c>
      <c r="G5" s="5">
        <f>'จัดสรร งปม.'!F39</f>
        <v>0</v>
      </c>
      <c r="H5" s="5">
        <f>'จัดสรร งปม.'!G39</f>
        <v>0</v>
      </c>
      <c r="I5" s="5">
        <f>'จัดสรร งปม.'!H39</f>
        <v>0</v>
      </c>
      <c r="J5" s="5">
        <f>'จัดสรร งปม.'!I39</f>
        <v>0</v>
      </c>
      <c r="K5" s="5">
        <f>'จัดสรร งปม.'!J39</f>
        <v>0</v>
      </c>
      <c r="L5" s="5">
        <f>'จัดสรร งปม.'!K39</f>
        <v>0</v>
      </c>
      <c r="M5" s="5">
        <f>'จัดสรร งปม.'!L39</f>
        <v>0</v>
      </c>
      <c r="N5" s="5">
        <f>'จัดสรร งปม.'!M39</f>
        <v>0</v>
      </c>
      <c r="O5" s="5">
        <f>'จัดสรร งปม.'!N39</f>
        <v>0</v>
      </c>
      <c r="P5" s="5">
        <f>'จัดสรร งปม.'!O39</f>
        <v>0</v>
      </c>
      <c r="Q5" s="5">
        <f>'จัดสรร งปม.'!P39</f>
        <v>190</v>
      </c>
    </row>
    <row r="6" spans="1:17" x14ac:dyDescent="0.2">
      <c r="D6" s="4" t="s">
        <v>97</v>
      </c>
      <c r="E6" s="5">
        <f>SUM(E11:E45)</f>
        <v>90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90</v>
      </c>
    </row>
    <row r="7" spans="1:17" x14ac:dyDescent="0.2">
      <c r="B7" s="68" t="s">
        <v>158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งปม.'!$B$39</f>
        <v>309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งปม.'!$C$39</f>
        <v>ค่าใช้สอยอื่นๆ(ไม่เกิน50,000/ครั้ง/รายการ)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90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90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งปม.'!D40</f>
        <v>200</v>
      </c>
      <c r="F5" s="5">
        <f>'จัดสรร งปม.'!E40</f>
        <v>0</v>
      </c>
      <c r="G5" s="5">
        <f>'จัดสรร งปม.'!F40</f>
        <v>0</v>
      </c>
      <c r="H5" s="5">
        <f>'จัดสรร งปม.'!G40</f>
        <v>0</v>
      </c>
      <c r="I5" s="5">
        <f>'จัดสรร งปม.'!H40</f>
        <v>0</v>
      </c>
      <c r="J5" s="5">
        <f>'จัดสรร งปม.'!I40</f>
        <v>0</v>
      </c>
      <c r="K5" s="5">
        <f>'จัดสรร งปม.'!J40</f>
        <v>0</v>
      </c>
      <c r="L5" s="5">
        <f>'จัดสรร งปม.'!K40</f>
        <v>0</v>
      </c>
      <c r="M5" s="5">
        <f>'จัดสรร งปม.'!L40</f>
        <v>0</v>
      </c>
      <c r="N5" s="5">
        <f>'จัดสรร งปม.'!M40</f>
        <v>0</v>
      </c>
      <c r="O5" s="5">
        <f>'จัดสรร งปม.'!N40</f>
        <v>0</v>
      </c>
      <c r="P5" s="5">
        <f>'จัดสรร งปม.'!O40</f>
        <v>0</v>
      </c>
      <c r="Q5" s="5">
        <f>'จัดสรร งปม.'!P40</f>
        <v>200</v>
      </c>
    </row>
    <row r="6" spans="1:17" x14ac:dyDescent="0.2">
      <c r="D6" s="4" t="s">
        <v>97</v>
      </c>
      <c r="E6" s="5">
        <f>SUM(E11:E45)</f>
        <v>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</v>
      </c>
    </row>
    <row r="7" spans="1:17" x14ac:dyDescent="0.2">
      <c r="B7" s="68" t="s">
        <v>158</v>
      </c>
      <c r="C7" s="68"/>
      <c r="D7" s="4" t="s">
        <v>99</v>
      </c>
      <c r="E7" s="5">
        <f>E5-E6</f>
        <v>150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150</v>
      </c>
    </row>
    <row r="8" spans="1:17" x14ac:dyDescent="0.2">
      <c r="B8" s="4" t="s">
        <v>102</v>
      </c>
      <c r="C8" s="6">
        <f>'จัดสรร งปม.'!$B$40</f>
        <v>310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งปม.'!$C$40</f>
        <v>สำรอง 1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0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งปม.'!D41</f>
        <v>210</v>
      </c>
      <c r="F5" s="5">
        <f>'จัดสรร งปม.'!E41</f>
        <v>0</v>
      </c>
      <c r="G5" s="5">
        <f>'จัดสรร งปม.'!F41</f>
        <v>0</v>
      </c>
      <c r="H5" s="5">
        <f>'จัดสรร งปม.'!G41</f>
        <v>0</v>
      </c>
      <c r="I5" s="5">
        <f>'จัดสรร งปม.'!H41</f>
        <v>0</v>
      </c>
      <c r="J5" s="5">
        <f>'จัดสรร งปม.'!I41</f>
        <v>0</v>
      </c>
      <c r="K5" s="5">
        <f>'จัดสรร งปม.'!J41</f>
        <v>0</v>
      </c>
      <c r="L5" s="5">
        <f>'จัดสรร งปม.'!K41</f>
        <v>0</v>
      </c>
      <c r="M5" s="5">
        <f>'จัดสรร งปม.'!L41</f>
        <v>0</v>
      </c>
      <c r="N5" s="5">
        <f>'จัดสรร งปม.'!M41</f>
        <v>0</v>
      </c>
      <c r="O5" s="5">
        <f>'จัดสรร งปม.'!N41</f>
        <v>0</v>
      </c>
      <c r="P5" s="5">
        <f>'จัดสรร งปม.'!O41</f>
        <v>0</v>
      </c>
      <c r="Q5" s="5">
        <f>'จัดสรร งปม.'!P41</f>
        <v>210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68" t="s">
        <v>158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งปม.'!$B$41</f>
        <v>311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งปม.'!$C$41</f>
        <v>สำรอง 2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1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งปม.'!D42</f>
        <v>220</v>
      </c>
      <c r="F5" s="5">
        <f>'จัดสรร งปม.'!E42</f>
        <v>0</v>
      </c>
      <c r="G5" s="5">
        <f>'จัดสรร งปม.'!F42</f>
        <v>0</v>
      </c>
      <c r="H5" s="5">
        <f>'จัดสรร งปม.'!G42</f>
        <v>0</v>
      </c>
      <c r="I5" s="5">
        <f>'จัดสรร งปม.'!H42</f>
        <v>0</v>
      </c>
      <c r="J5" s="5">
        <f>'จัดสรร งปม.'!I42</f>
        <v>0</v>
      </c>
      <c r="K5" s="5">
        <f>'จัดสรร งปม.'!J42</f>
        <v>0</v>
      </c>
      <c r="L5" s="5">
        <f>'จัดสรร งปม.'!K42</f>
        <v>0</v>
      </c>
      <c r="M5" s="5">
        <f>'จัดสรร งปม.'!L42</f>
        <v>0</v>
      </c>
      <c r="N5" s="5">
        <f>'จัดสรร งปม.'!M42</f>
        <v>0</v>
      </c>
      <c r="O5" s="5">
        <f>'จัดสรร งปม.'!N42</f>
        <v>0</v>
      </c>
      <c r="P5" s="5">
        <f>'จัดสรร งปม.'!O42</f>
        <v>0</v>
      </c>
      <c r="Q5" s="5">
        <f>'จัดสรร งปม.'!P42</f>
        <v>220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68" t="s">
        <v>158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งปม.'!$B$42</f>
        <v>312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งปม.'!$C$42</f>
        <v>สำรอง 3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2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งปม.'!D43</f>
        <v>230</v>
      </c>
      <c r="F5" s="5">
        <f>'จัดสรร งปม.'!E43</f>
        <v>0</v>
      </c>
      <c r="G5" s="5">
        <f>'จัดสรร งปม.'!F43</f>
        <v>0</v>
      </c>
      <c r="H5" s="5">
        <f>'จัดสรร งปม.'!G43</f>
        <v>0</v>
      </c>
      <c r="I5" s="5">
        <f>'จัดสรร งปม.'!H43</f>
        <v>0</v>
      </c>
      <c r="J5" s="5">
        <f>'จัดสรร งปม.'!I43</f>
        <v>0</v>
      </c>
      <c r="K5" s="5">
        <f>'จัดสรร งปม.'!J43</f>
        <v>0</v>
      </c>
      <c r="L5" s="5">
        <f>'จัดสรร งปม.'!K43</f>
        <v>0</v>
      </c>
      <c r="M5" s="5">
        <f>'จัดสรร งปม.'!L43</f>
        <v>0</v>
      </c>
      <c r="N5" s="5">
        <f>'จัดสรร งปม.'!M43</f>
        <v>0</v>
      </c>
      <c r="O5" s="5">
        <f>'จัดสรร งปม.'!N43</f>
        <v>0</v>
      </c>
      <c r="P5" s="5">
        <f>'จัดสรร งปม.'!O43</f>
        <v>0</v>
      </c>
      <c r="Q5" s="5">
        <f>'จัดสรร งปม.'!P43</f>
        <v>230</v>
      </c>
    </row>
    <row r="6" spans="1:17" x14ac:dyDescent="0.2">
      <c r="D6" s="4" t="s">
        <v>97</v>
      </c>
      <c r="E6" s="5">
        <f>SUM(E11:E45)</f>
        <v>30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30</v>
      </c>
    </row>
    <row r="7" spans="1:17" x14ac:dyDescent="0.2">
      <c r="B7" s="68" t="s">
        <v>158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งปม.'!$B$43</f>
        <v>313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งปม.'!$C$43</f>
        <v>สำรอง 4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3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45"/>
  <sheetViews>
    <sheetView showGridLines="0" workbookViewId="0">
      <pane ySplit="10" topLeftCell="A11" activePane="bottomLeft" state="frozen"/>
      <selection pane="bottomLeft" sqref="A1:B1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งปม.'!D44</f>
        <v>240</v>
      </c>
      <c r="F5" s="5">
        <f>'จัดสรร งปม.'!E44</f>
        <v>0</v>
      </c>
      <c r="G5" s="5">
        <f>'จัดสรร งปม.'!F44</f>
        <v>0</v>
      </c>
      <c r="H5" s="5">
        <f>'จัดสรร งปม.'!G44</f>
        <v>0</v>
      </c>
      <c r="I5" s="5">
        <f>'จัดสรร งปม.'!H44</f>
        <v>0</v>
      </c>
      <c r="J5" s="5">
        <f>'จัดสรร งปม.'!I44</f>
        <v>0</v>
      </c>
      <c r="K5" s="5">
        <f>'จัดสรร งปม.'!J44</f>
        <v>0</v>
      </c>
      <c r="L5" s="5">
        <f>'จัดสรร งปม.'!K44</f>
        <v>0</v>
      </c>
      <c r="M5" s="5">
        <f>'จัดสรร งปม.'!L44</f>
        <v>0</v>
      </c>
      <c r="N5" s="5">
        <f>'จัดสรร งปม.'!M44</f>
        <v>0</v>
      </c>
      <c r="O5" s="5">
        <f>'จัดสรร งปม.'!N44</f>
        <v>0</v>
      </c>
      <c r="P5" s="5">
        <f>'จัดสรร งปม.'!O44</f>
        <v>0</v>
      </c>
      <c r="Q5" s="5">
        <f>'จัดสรร งปม.'!P44</f>
        <v>240</v>
      </c>
    </row>
    <row r="6" spans="1:17" x14ac:dyDescent="0.2">
      <c r="D6" s="4" t="s">
        <v>97</v>
      </c>
      <c r="E6" s="5">
        <f>SUM(E11:E45)</f>
        <v>40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40</v>
      </c>
    </row>
    <row r="7" spans="1:17" x14ac:dyDescent="0.2">
      <c r="B7" s="68" t="s">
        <v>158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งปม.'!$B$44</f>
        <v>314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งปม.'!$C$44</f>
        <v>สำรอง 5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4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งปม.'!D46</f>
        <v>110</v>
      </c>
      <c r="F5" s="5">
        <f>'จัดสรร งปม.'!E46</f>
        <v>0</v>
      </c>
      <c r="G5" s="5">
        <f>'จัดสรร งปม.'!F46</f>
        <v>0</v>
      </c>
      <c r="H5" s="5">
        <f>'จัดสรร งปม.'!G46</f>
        <v>0</v>
      </c>
      <c r="I5" s="5">
        <f>'จัดสรร งปม.'!H46</f>
        <v>0</v>
      </c>
      <c r="J5" s="5">
        <f>'จัดสรร งปม.'!I46</f>
        <v>0</v>
      </c>
      <c r="K5" s="5">
        <f>'จัดสรร งปม.'!J46</f>
        <v>0</v>
      </c>
      <c r="L5" s="5">
        <f>'จัดสรร งปม.'!K46</f>
        <v>0</v>
      </c>
      <c r="M5" s="5">
        <f>'จัดสรร งปม.'!L46</f>
        <v>0</v>
      </c>
      <c r="N5" s="5">
        <f>'จัดสรร งปม.'!M46</f>
        <v>0</v>
      </c>
      <c r="O5" s="5">
        <f>'จัดสรร งปม.'!N46</f>
        <v>0</v>
      </c>
      <c r="P5" s="5">
        <f>'จัดสรร งปม.'!O46</f>
        <v>0</v>
      </c>
      <c r="Q5" s="5">
        <f>'จัดสรร งปม.'!P46</f>
        <v>110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งปม.'!$B$46</f>
        <v>401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งปม.'!$C$46</f>
        <v>แผนกวิชาช่างก่อสร้าง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5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งปม.'!D47</f>
        <v>120</v>
      </c>
      <c r="F5" s="5">
        <f>'จัดสรร งปม.'!E47</f>
        <v>0</v>
      </c>
      <c r="G5" s="5">
        <f>'จัดสรร งปม.'!F47</f>
        <v>0</v>
      </c>
      <c r="H5" s="5">
        <f>'จัดสรร งปม.'!G47</f>
        <v>0</v>
      </c>
      <c r="I5" s="5">
        <f>'จัดสรร งปม.'!H47</f>
        <v>0</v>
      </c>
      <c r="J5" s="5">
        <f>'จัดสรร งปม.'!I47</f>
        <v>0</v>
      </c>
      <c r="K5" s="5">
        <f>'จัดสรร งปม.'!J47</f>
        <v>0</v>
      </c>
      <c r="L5" s="5">
        <f>'จัดสรร งปม.'!K47</f>
        <v>0</v>
      </c>
      <c r="M5" s="5">
        <f>'จัดสรร งปม.'!L47</f>
        <v>0</v>
      </c>
      <c r="N5" s="5">
        <f>'จัดสรร งปม.'!M47</f>
        <v>0</v>
      </c>
      <c r="O5" s="5">
        <f>'จัดสรร งปม.'!N47</f>
        <v>0</v>
      </c>
      <c r="P5" s="5">
        <f>'จัดสรร งปม.'!O47</f>
        <v>0</v>
      </c>
      <c r="Q5" s="5">
        <f>'จัดสรร งปม.'!P47</f>
        <v>120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งปม.'!$B$47</f>
        <v>402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งปม.'!$C$47</f>
        <v>แผนกวิชาช่างยนต์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งปม.'!D48</f>
        <v>130</v>
      </c>
      <c r="F5" s="5">
        <f>'จัดสรร งปม.'!E48</f>
        <v>0</v>
      </c>
      <c r="G5" s="5">
        <f>'จัดสรร งปม.'!F48</f>
        <v>0</v>
      </c>
      <c r="H5" s="5">
        <f>'จัดสรร งปม.'!G48</f>
        <v>0</v>
      </c>
      <c r="I5" s="5">
        <f>'จัดสรร งปม.'!H48</f>
        <v>0</v>
      </c>
      <c r="J5" s="5">
        <f>'จัดสรร งปม.'!I48</f>
        <v>0</v>
      </c>
      <c r="K5" s="5">
        <f>'จัดสรร งปม.'!J48</f>
        <v>0</v>
      </c>
      <c r="L5" s="5">
        <f>'จัดสรร งปม.'!K48</f>
        <v>0</v>
      </c>
      <c r="M5" s="5">
        <f>'จัดสรร งปม.'!L48</f>
        <v>0</v>
      </c>
      <c r="N5" s="5">
        <f>'จัดสรร งปม.'!M48</f>
        <v>0</v>
      </c>
      <c r="O5" s="5">
        <f>'จัดสรร งปม.'!N48</f>
        <v>0</v>
      </c>
      <c r="P5" s="5">
        <f>'จัดสรร งปม.'!O48</f>
        <v>0</v>
      </c>
      <c r="Q5" s="5">
        <f>'จัดสรร งปม.'!P48</f>
        <v>130</v>
      </c>
    </row>
    <row r="6" spans="1:17" x14ac:dyDescent="0.2">
      <c r="D6" s="4" t="s">
        <v>97</v>
      </c>
      <c r="E6" s="5">
        <f>SUM(E11:E45)</f>
        <v>30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งปม.'!$B$48</f>
        <v>403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งปม.'!$C$48</f>
        <v>แผนกวิชาช่างไฟฟ้ากำลัง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7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งปม.'!D49</f>
        <v>140</v>
      </c>
      <c r="F5" s="5">
        <f>'จัดสรร งปม.'!E49</f>
        <v>0</v>
      </c>
      <c r="G5" s="5">
        <f>'จัดสรร งปม.'!F49</f>
        <v>0</v>
      </c>
      <c r="H5" s="5">
        <f>'จัดสรร งปม.'!G49</f>
        <v>0</v>
      </c>
      <c r="I5" s="5">
        <f>'จัดสรร งปม.'!H49</f>
        <v>0</v>
      </c>
      <c r="J5" s="5">
        <f>'จัดสรร งปม.'!I49</f>
        <v>0</v>
      </c>
      <c r="K5" s="5">
        <f>'จัดสรร งปม.'!J49</f>
        <v>0</v>
      </c>
      <c r="L5" s="5">
        <f>'จัดสรร งปม.'!K49</f>
        <v>0</v>
      </c>
      <c r="M5" s="5">
        <f>'จัดสรร งปม.'!L49</f>
        <v>0</v>
      </c>
      <c r="N5" s="5">
        <f>'จัดสรร งปม.'!M49</f>
        <v>0</v>
      </c>
      <c r="O5" s="5">
        <f>'จัดสรร งปม.'!N49</f>
        <v>0</v>
      </c>
      <c r="P5" s="5">
        <f>'จัดสรร งปม.'!O49</f>
        <v>0</v>
      </c>
      <c r="Q5" s="5">
        <f>'จัดสรร งปม.'!P49</f>
        <v>140</v>
      </c>
    </row>
    <row r="6" spans="1:17" x14ac:dyDescent="0.2">
      <c r="D6" s="4" t="s">
        <v>97</v>
      </c>
      <c r="E6" s="5">
        <f>SUM(E11:E45)</f>
        <v>40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งปม.'!$B$49</f>
        <v>404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งปม.'!$C$49</f>
        <v>แผนกวิชาช่างอิเล็กทรอนิกส์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8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งปม.'!D50</f>
        <v>150</v>
      </c>
      <c r="F5" s="5">
        <f>'จัดสรร งปม.'!E50</f>
        <v>0</v>
      </c>
      <c r="G5" s="5">
        <f>'จัดสรร งปม.'!F50</f>
        <v>0</v>
      </c>
      <c r="H5" s="5">
        <f>'จัดสรร งปม.'!G50</f>
        <v>0</v>
      </c>
      <c r="I5" s="5">
        <f>'จัดสรร งปม.'!H50</f>
        <v>0</v>
      </c>
      <c r="J5" s="5">
        <f>'จัดสรร งปม.'!I50</f>
        <v>0</v>
      </c>
      <c r="K5" s="5">
        <f>'จัดสรร งปม.'!J50</f>
        <v>0</v>
      </c>
      <c r="L5" s="5">
        <f>'จัดสรร งปม.'!K50</f>
        <v>0</v>
      </c>
      <c r="M5" s="5">
        <f>'จัดสรร งปม.'!L50</f>
        <v>0</v>
      </c>
      <c r="N5" s="5">
        <f>'จัดสรร งปม.'!M50</f>
        <v>0</v>
      </c>
      <c r="O5" s="5">
        <f>'จัดสรร งปม.'!N50</f>
        <v>0</v>
      </c>
      <c r="P5" s="5">
        <f>'จัดสรร งปม.'!O50</f>
        <v>0</v>
      </c>
      <c r="Q5" s="5">
        <f>'จัดสรร งปม.'!P50</f>
        <v>150</v>
      </c>
    </row>
    <row r="6" spans="1:17" x14ac:dyDescent="0.2">
      <c r="D6" s="4" t="s">
        <v>97</v>
      </c>
      <c r="E6" s="5">
        <f>SUM(E11:E45)</f>
        <v>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งปม.'!$B$50</f>
        <v>405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งปม.'!$C$50</f>
        <v>แผนกวิชาการบัญชี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9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งปม.'!D51</f>
        <v>160</v>
      </c>
      <c r="F5" s="5">
        <f>'จัดสรร งปม.'!E51</f>
        <v>0</v>
      </c>
      <c r="G5" s="5">
        <f>'จัดสรร งปม.'!F51</f>
        <v>0</v>
      </c>
      <c r="H5" s="5">
        <f>'จัดสรร งปม.'!G51</f>
        <v>0</v>
      </c>
      <c r="I5" s="5">
        <f>'จัดสรร งปม.'!H51</f>
        <v>0</v>
      </c>
      <c r="J5" s="5">
        <f>'จัดสรร งปม.'!I51</f>
        <v>0</v>
      </c>
      <c r="K5" s="5">
        <f>'จัดสรร งปม.'!J51</f>
        <v>0</v>
      </c>
      <c r="L5" s="5">
        <f>'จัดสรร งปม.'!K51</f>
        <v>0</v>
      </c>
      <c r="M5" s="5">
        <f>'จัดสรร งปม.'!L51</f>
        <v>0</v>
      </c>
      <c r="N5" s="5">
        <f>'จัดสรร งปม.'!M51</f>
        <v>0</v>
      </c>
      <c r="O5" s="5">
        <f>'จัดสรร งปม.'!N51</f>
        <v>0</v>
      </c>
      <c r="P5" s="5">
        <f>'จัดสรร งปม.'!O51</f>
        <v>0</v>
      </c>
      <c r="Q5" s="5">
        <f>'จัดสรร งปม.'!P51</f>
        <v>160</v>
      </c>
    </row>
    <row r="6" spans="1:17" x14ac:dyDescent="0.2">
      <c r="D6" s="4" t="s">
        <v>97</v>
      </c>
      <c r="E6" s="5">
        <f>SUM(E11:E45)</f>
        <v>60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60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งปม.'!$B$51</f>
        <v>406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งปม.'!$C$51</f>
        <v>แผนกวิชาคอมพิวเตอร์ธุรกิจ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60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60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A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งปม.'!D52</f>
        <v>170</v>
      </c>
      <c r="F5" s="5">
        <f>'จัดสรร งปม.'!E52</f>
        <v>0</v>
      </c>
      <c r="G5" s="5">
        <f>'จัดสรร งปม.'!F52</f>
        <v>0</v>
      </c>
      <c r="H5" s="5">
        <f>'จัดสรร งปม.'!G52</f>
        <v>0</v>
      </c>
      <c r="I5" s="5">
        <f>'จัดสรร งปม.'!H52</f>
        <v>0</v>
      </c>
      <c r="J5" s="5">
        <f>'จัดสรร งปม.'!I52</f>
        <v>0</v>
      </c>
      <c r="K5" s="5">
        <f>'จัดสรร งปม.'!J52</f>
        <v>0</v>
      </c>
      <c r="L5" s="5">
        <f>'จัดสรร งปม.'!K52</f>
        <v>0</v>
      </c>
      <c r="M5" s="5">
        <f>'จัดสรร งปม.'!L52</f>
        <v>0</v>
      </c>
      <c r="N5" s="5">
        <f>'จัดสรร งปม.'!M52</f>
        <v>0</v>
      </c>
      <c r="O5" s="5">
        <f>'จัดสรร งปม.'!N52</f>
        <v>0</v>
      </c>
      <c r="P5" s="5">
        <f>'จัดสรร งปม.'!O52</f>
        <v>0</v>
      </c>
      <c r="Q5" s="5">
        <f>'จัดสรร งปม.'!P52</f>
        <v>170</v>
      </c>
    </row>
    <row r="6" spans="1:17" x14ac:dyDescent="0.2">
      <c r="D6" s="4" t="s">
        <v>97</v>
      </c>
      <c r="E6" s="5">
        <f>SUM(E11:E45)</f>
        <v>70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70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งปม.'!$B$52</f>
        <v>407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งปม.'!$C$52</f>
        <v>แผนกวิชาเทคนิคพื้นฐาน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70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70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B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งปม.'!D53</f>
        <v>180</v>
      </c>
      <c r="F5" s="5">
        <f>'จัดสรร งปม.'!E53</f>
        <v>0</v>
      </c>
      <c r="G5" s="5">
        <f>'จัดสรร งปม.'!F53</f>
        <v>0</v>
      </c>
      <c r="H5" s="5">
        <f>'จัดสรร งปม.'!G53</f>
        <v>0</v>
      </c>
      <c r="I5" s="5">
        <f>'จัดสรร งปม.'!H53</f>
        <v>0</v>
      </c>
      <c r="J5" s="5">
        <f>'จัดสรร งปม.'!I53</f>
        <v>0</v>
      </c>
      <c r="K5" s="5">
        <f>'จัดสรร งปม.'!J53</f>
        <v>0</v>
      </c>
      <c r="L5" s="5">
        <f>'จัดสรร งปม.'!K53</f>
        <v>0</v>
      </c>
      <c r="M5" s="5">
        <f>'จัดสรร งปม.'!L53</f>
        <v>0</v>
      </c>
      <c r="N5" s="5">
        <f>'จัดสรร งปม.'!M53</f>
        <v>0</v>
      </c>
      <c r="O5" s="5">
        <f>'จัดสรร งปม.'!N53</f>
        <v>0</v>
      </c>
      <c r="P5" s="5">
        <f>'จัดสรร งปม.'!O53</f>
        <v>0</v>
      </c>
      <c r="Q5" s="5">
        <f>'จัดสรร งปม.'!P53</f>
        <v>180</v>
      </c>
    </row>
    <row r="6" spans="1:17" x14ac:dyDescent="0.2">
      <c r="D6" s="4" t="s">
        <v>97</v>
      </c>
      <c r="E6" s="5">
        <f>SUM(E11:E45)</f>
        <v>80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80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งปม.'!$B$53</f>
        <v>408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งปม.'!$C$53</f>
        <v>แผนกวิชาสามัญสัมพันธ์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80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80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C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งปม.'!D54</f>
        <v>190</v>
      </c>
      <c r="F5" s="5">
        <f>'จัดสรร งปม.'!E54</f>
        <v>0</v>
      </c>
      <c r="G5" s="5">
        <f>'จัดสรร งปม.'!F54</f>
        <v>0</v>
      </c>
      <c r="H5" s="5">
        <f>'จัดสรร งปม.'!G54</f>
        <v>0</v>
      </c>
      <c r="I5" s="5">
        <f>'จัดสรร งปม.'!H54</f>
        <v>0</v>
      </c>
      <c r="J5" s="5">
        <f>'จัดสรร งปม.'!I54</f>
        <v>0</v>
      </c>
      <c r="K5" s="5">
        <f>'จัดสรร งปม.'!J54</f>
        <v>0</v>
      </c>
      <c r="L5" s="5">
        <f>'จัดสรร งปม.'!K54</f>
        <v>0</v>
      </c>
      <c r="M5" s="5">
        <f>'จัดสรร งปม.'!L54</f>
        <v>0</v>
      </c>
      <c r="N5" s="5">
        <f>'จัดสรร งปม.'!M54</f>
        <v>0</v>
      </c>
      <c r="O5" s="5">
        <f>'จัดสรร งปม.'!N54</f>
        <v>0</v>
      </c>
      <c r="P5" s="5">
        <f>'จัดสรร งปม.'!O54</f>
        <v>0</v>
      </c>
      <c r="Q5" s="5">
        <f>'จัดสรร งปม.'!P54</f>
        <v>190</v>
      </c>
    </row>
    <row r="6" spans="1:17" x14ac:dyDescent="0.2">
      <c r="D6" s="4" t="s">
        <v>97</v>
      </c>
      <c r="E6" s="5">
        <f>SUM(E11:E45)</f>
        <v>90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90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งปม.'!$B$54</f>
        <v>409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งปม.'!$C$54</f>
        <v>ฝ่ายวิชาการ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90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90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D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45"/>
  <sheetViews>
    <sheetView showGridLines="0" workbookViewId="0">
      <pane ySplit="10" topLeftCell="A11" activePane="bottomLeft" state="frozen"/>
      <selection pane="bottomLeft" activeCell="J30" sqref="J30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งปม.'!D55</f>
        <v>200</v>
      </c>
      <c r="F5" s="5">
        <f>'จัดสรร งปม.'!E55</f>
        <v>0</v>
      </c>
      <c r="G5" s="5">
        <f>'จัดสรร งปม.'!F55</f>
        <v>0</v>
      </c>
      <c r="H5" s="5">
        <f>'จัดสรร งปม.'!G55</f>
        <v>0</v>
      </c>
      <c r="I5" s="5">
        <f>'จัดสรร งปม.'!H55</f>
        <v>0</v>
      </c>
      <c r="J5" s="5">
        <f>'จัดสรร งปม.'!I55</f>
        <v>0</v>
      </c>
      <c r="K5" s="5">
        <f>'จัดสรร งปม.'!J55</f>
        <v>0</v>
      </c>
      <c r="L5" s="5">
        <f>'จัดสรร งปม.'!K55</f>
        <v>0</v>
      </c>
      <c r="M5" s="5">
        <f>'จัดสรร งปม.'!L55</f>
        <v>0</v>
      </c>
      <c r="N5" s="5">
        <f>'จัดสรร งปม.'!M55</f>
        <v>0</v>
      </c>
      <c r="O5" s="5">
        <f>'จัดสรร งปม.'!N55</f>
        <v>0</v>
      </c>
      <c r="P5" s="5">
        <f>'จัดสรร งปม.'!O55</f>
        <v>0</v>
      </c>
      <c r="Q5" s="5">
        <f>'จัดสรร งปม.'!P55</f>
        <v>200</v>
      </c>
    </row>
    <row r="6" spans="1:17" x14ac:dyDescent="0.2">
      <c r="D6" s="4" t="s">
        <v>97</v>
      </c>
      <c r="E6" s="5">
        <f>SUM(E11:E45)</f>
        <v>100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100</v>
      </c>
    </row>
    <row r="7" spans="1:17" x14ac:dyDescent="0.2">
      <c r="B7" s="68" t="s">
        <v>159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งปม.'!$B$55</f>
        <v>410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งปม.'!$C$55</f>
        <v>ฝ่ายพัฒนากิจการนักเรียนนักศึกษา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E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งปม.'!D56</f>
        <v>210</v>
      </c>
      <c r="F5" s="5">
        <f>'จัดสรร งปม.'!E56</f>
        <v>0</v>
      </c>
      <c r="G5" s="5">
        <f>'จัดสรร งปม.'!F56</f>
        <v>0</v>
      </c>
      <c r="H5" s="5">
        <f>'จัดสรร งปม.'!G56</f>
        <v>0</v>
      </c>
      <c r="I5" s="5">
        <f>'จัดสรร งปม.'!H56</f>
        <v>0</v>
      </c>
      <c r="J5" s="5">
        <f>'จัดสรร งปม.'!I56</f>
        <v>0</v>
      </c>
      <c r="K5" s="5">
        <f>'จัดสรร งปม.'!J56</f>
        <v>0</v>
      </c>
      <c r="L5" s="5">
        <f>'จัดสรร งปม.'!K56</f>
        <v>0</v>
      </c>
      <c r="M5" s="5">
        <f>'จัดสรร งปม.'!L56</f>
        <v>0</v>
      </c>
      <c r="N5" s="5">
        <f>'จัดสรร งปม.'!M56</f>
        <v>0</v>
      </c>
      <c r="O5" s="5">
        <f>'จัดสรร งปม.'!N56</f>
        <v>0</v>
      </c>
      <c r="P5" s="5">
        <f>'จัดสรร งปม.'!O56</f>
        <v>0</v>
      </c>
      <c r="Q5" s="5">
        <f>'จัดสรร งปม.'!P56</f>
        <v>210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68" t="s">
        <v>159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งปม.'!$B$56</f>
        <v>411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งปม.'!$C$56</f>
        <v>ฝ่ายแผนงานและความร่วมมือ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2F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งปม.'!D57</f>
        <v>220</v>
      </c>
      <c r="F5" s="5">
        <f>'จัดสรร งปม.'!E57</f>
        <v>0</v>
      </c>
      <c r="G5" s="5">
        <f>'จัดสรร งปม.'!F57</f>
        <v>0</v>
      </c>
      <c r="H5" s="5">
        <f>'จัดสรร งปม.'!G57</f>
        <v>0</v>
      </c>
      <c r="I5" s="5">
        <f>'จัดสรร งปม.'!H57</f>
        <v>0</v>
      </c>
      <c r="J5" s="5">
        <f>'จัดสรร งปม.'!I57</f>
        <v>0</v>
      </c>
      <c r="K5" s="5">
        <f>'จัดสรร งปม.'!J57</f>
        <v>0</v>
      </c>
      <c r="L5" s="5">
        <f>'จัดสรร งปม.'!K57</f>
        <v>0</v>
      </c>
      <c r="M5" s="5">
        <f>'จัดสรร งปม.'!L57</f>
        <v>0</v>
      </c>
      <c r="N5" s="5">
        <f>'จัดสรร งปม.'!M57</f>
        <v>0</v>
      </c>
      <c r="O5" s="5">
        <f>'จัดสรร งปม.'!N57</f>
        <v>0</v>
      </c>
      <c r="P5" s="5">
        <f>'จัดสรร งปม.'!O57</f>
        <v>0</v>
      </c>
      <c r="Q5" s="5">
        <f>'จัดสรร งปม.'!P57</f>
        <v>220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68" t="s">
        <v>159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งปม.'!$B$57</f>
        <v>412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งปม.'!$C$57</f>
        <v>ฝ่ายบริหารทรัพยากร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0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งปม.'!D58</f>
        <v>230</v>
      </c>
      <c r="F5" s="5">
        <f>'จัดสรร งปม.'!E58</f>
        <v>0</v>
      </c>
      <c r="G5" s="5">
        <f>'จัดสรร งปม.'!F58</f>
        <v>0</v>
      </c>
      <c r="H5" s="5">
        <f>'จัดสรร งปม.'!G58</f>
        <v>0</v>
      </c>
      <c r="I5" s="5">
        <f>'จัดสรร งปม.'!H58</f>
        <v>0</v>
      </c>
      <c r="J5" s="5">
        <f>'จัดสรร งปม.'!I58</f>
        <v>0</v>
      </c>
      <c r="K5" s="5">
        <f>'จัดสรร งปม.'!J58</f>
        <v>0</v>
      </c>
      <c r="L5" s="5">
        <f>'จัดสรร งปม.'!K58</f>
        <v>0</v>
      </c>
      <c r="M5" s="5">
        <f>'จัดสรร งปม.'!L58</f>
        <v>0</v>
      </c>
      <c r="N5" s="5">
        <f>'จัดสรร งปม.'!M58</f>
        <v>0</v>
      </c>
      <c r="O5" s="5">
        <f>'จัดสรร งปม.'!N58</f>
        <v>0</v>
      </c>
      <c r="P5" s="5">
        <f>'จัดสรร งปม.'!O58</f>
        <v>0</v>
      </c>
      <c r="Q5" s="5">
        <f>'จัดสรร งปม.'!P58</f>
        <v>230</v>
      </c>
    </row>
    <row r="6" spans="1:17" x14ac:dyDescent="0.2">
      <c r="D6" s="4" t="s">
        <v>97</v>
      </c>
      <c r="E6" s="5">
        <f>SUM(E11:E45)</f>
        <v>30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30</v>
      </c>
    </row>
    <row r="7" spans="1:17" x14ac:dyDescent="0.2">
      <c r="B7" s="68" t="s">
        <v>159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งปม.'!$B$58</f>
        <v>413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งปม.'!$C$58</f>
        <v>สำรอง 1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1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งปม.'!D59</f>
        <v>240</v>
      </c>
      <c r="F5" s="5">
        <f>'จัดสรร งปม.'!E59</f>
        <v>0</v>
      </c>
      <c r="G5" s="5">
        <f>'จัดสรร งปม.'!F59</f>
        <v>0</v>
      </c>
      <c r="H5" s="5">
        <f>'จัดสรร งปม.'!G59</f>
        <v>0</v>
      </c>
      <c r="I5" s="5">
        <f>'จัดสรร งปม.'!H59</f>
        <v>0</v>
      </c>
      <c r="J5" s="5">
        <f>'จัดสรร งปม.'!I59</f>
        <v>0</v>
      </c>
      <c r="K5" s="5">
        <f>'จัดสรร งปม.'!J59</f>
        <v>0</v>
      </c>
      <c r="L5" s="5">
        <f>'จัดสรร งปม.'!K59</f>
        <v>0</v>
      </c>
      <c r="M5" s="5">
        <f>'จัดสรร งปม.'!L59</f>
        <v>0</v>
      </c>
      <c r="N5" s="5">
        <f>'จัดสรร งปม.'!M59</f>
        <v>0</v>
      </c>
      <c r="O5" s="5">
        <f>'จัดสรร งปม.'!N59</f>
        <v>0</v>
      </c>
      <c r="P5" s="5">
        <f>'จัดสรร งปม.'!O59</f>
        <v>0</v>
      </c>
      <c r="Q5" s="5">
        <f>'จัดสรร งปม.'!P59</f>
        <v>240</v>
      </c>
    </row>
    <row r="6" spans="1:17" x14ac:dyDescent="0.2">
      <c r="D6" s="4" t="s">
        <v>97</v>
      </c>
      <c r="E6" s="5">
        <f>SUM(E11:E45)</f>
        <v>40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40</v>
      </c>
    </row>
    <row r="7" spans="1:17" x14ac:dyDescent="0.2">
      <c r="B7" s="68" t="s">
        <v>159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งปม.'!$B$59</f>
        <v>414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งปม.'!$C$59</f>
        <v>สำรอง 2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200-000000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งปม.'!D60</f>
        <v>250</v>
      </c>
      <c r="F5" s="5">
        <f>'จัดสรร งปม.'!E60</f>
        <v>0</v>
      </c>
      <c r="G5" s="5">
        <f>'จัดสรร งปม.'!F60</f>
        <v>0</v>
      </c>
      <c r="H5" s="5">
        <f>'จัดสรร งปม.'!G60</f>
        <v>0</v>
      </c>
      <c r="I5" s="5">
        <f>'จัดสรร งปม.'!H60</f>
        <v>0</v>
      </c>
      <c r="J5" s="5">
        <f>'จัดสรร งปม.'!I60</f>
        <v>0</v>
      </c>
      <c r="K5" s="5">
        <f>'จัดสรร งปม.'!J60</f>
        <v>0</v>
      </c>
      <c r="L5" s="5">
        <f>'จัดสรร งปม.'!K60</f>
        <v>0</v>
      </c>
      <c r="M5" s="5">
        <f>'จัดสรร งปม.'!L60</f>
        <v>0</v>
      </c>
      <c r="N5" s="5">
        <f>'จัดสรร งปม.'!M60</f>
        <v>0</v>
      </c>
      <c r="O5" s="5">
        <f>'จัดสรร งปม.'!N60</f>
        <v>0</v>
      </c>
      <c r="P5" s="5">
        <f>'จัดสรร งปม.'!O60</f>
        <v>0</v>
      </c>
      <c r="Q5" s="5">
        <f>'จัดสรร งปม.'!P60</f>
        <v>250</v>
      </c>
    </row>
    <row r="6" spans="1:17" x14ac:dyDescent="0.2">
      <c r="D6" s="4" t="s">
        <v>97</v>
      </c>
      <c r="E6" s="5">
        <f>SUM(E11:E45)</f>
        <v>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</v>
      </c>
    </row>
    <row r="7" spans="1:17" x14ac:dyDescent="0.2">
      <c r="B7" s="68" t="s">
        <v>159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งปม.'!$B$60</f>
        <v>415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งปม.'!$C$60</f>
        <v>สำรอง 3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3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งปม.'!D61</f>
        <v>260</v>
      </c>
      <c r="F5" s="5">
        <f>'จัดสรร งปม.'!E61</f>
        <v>0</v>
      </c>
      <c r="G5" s="5">
        <f>'จัดสรร งปม.'!F61</f>
        <v>0</v>
      </c>
      <c r="H5" s="5">
        <f>'จัดสรร งปม.'!G61</f>
        <v>0</v>
      </c>
      <c r="I5" s="5">
        <f>'จัดสรร งปม.'!H61</f>
        <v>0</v>
      </c>
      <c r="J5" s="5">
        <f>'จัดสรร งปม.'!I61</f>
        <v>0</v>
      </c>
      <c r="K5" s="5">
        <f>'จัดสรร งปม.'!J61</f>
        <v>0</v>
      </c>
      <c r="L5" s="5">
        <f>'จัดสรร งปม.'!K61</f>
        <v>0</v>
      </c>
      <c r="M5" s="5">
        <f>'จัดสรร งปม.'!L61</f>
        <v>0</v>
      </c>
      <c r="N5" s="5">
        <f>'จัดสรร งปม.'!M61</f>
        <v>0</v>
      </c>
      <c r="O5" s="5">
        <f>'จัดสรร งปม.'!N61</f>
        <v>0</v>
      </c>
      <c r="P5" s="5">
        <f>'จัดสรร งปม.'!O61</f>
        <v>0</v>
      </c>
      <c r="Q5" s="5">
        <f>'จัดสรร งปม.'!P61</f>
        <v>260</v>
      </c>
    </row>
    <row r="6" spans="1:17" x14ac:dyDescent="0.2">
      <c r="D6" s="4" t="s">
        <v>97</v>
      </c>
      <c r="E6" s="5">
        <f>SUM(E11:E45)</f>
        <v>60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60</v>
      </c>
    </row>
    <row r="7" spans="1:17" x14ac:dyDescent="0.2">
      <c r="B7" s="68" t="s">
        <v>159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งปม.'!$B$61</f>
        <v>416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งปม.'!$C$61</f>
        <v>สำรอง 4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60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60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4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45"/>
  <sheetViews>
    <sheetView showGridLines="0" workbookViewId="0">
      <pane ySplit="10" topLeftCell="A11" activePane="bottomLeft" state="frozen"/>
      <selection pane="bottomLeft" sqref="A1:B1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งปม.'!D62</f>
        <v>270</v>
      </c>
      <c r="F5" s="5">
        <f>'จัดสรร งปม.'!E62</f>
        <v>0</v>
      </c>
      <c r="G5" s="5">
        <f>'จัดสรร งปม.'!F62</f>
        <v>0</v>
      </c>
      <c r="H5" s="5">
        <f>'จัดสรร งปม.'!G62</f>
        <v>0</v>
      </c>
      <c r="I5" s="5">
        <f>'จัดสรร งปม.'!H62</f>
        <v>0</v>
      </c>
      <c r="J5" s="5">
        <f>'จัดสรร งปม.'!I62</f>
        <v>0</v>
      </c>
      <c r="K5" s="5">
        <f>'จัดสรร งปม.'!J62</f>
        <v>0</v>
      </c>
      <c r="L5" s="5">
        <f>'จัดสรร งปม.'!K62</f>
        <v>0</v>
      </c>
      <c r="M5" s="5">
        <f>'จัดสรร งปม.'!L62</f>
        <v>0</v>
      </c>
      <c r="N5" s="5">
        <f>'จัดสรร งปม.'!M62</f>
        <v>0</v>
      </c>
      <c r="O5" s="5">
        <f>'จัดสรร งปม.'!N62</f>
        <v>0</v>
      </c>
      <c r="P5" s="5">
        <f>'จัดสรร งปม.'!O62</f>
        <v>0</v>
      </c>
      <c r="Q5" s="5">
        <f>'จัดสรร งปม.'!P62</f>
        <v>270</v>
      </c>
    </row>
    <row r="6" spans="1:17" x14ac:dyDescent="0.2">
      <c r="D6" s="4" t="s">
        <v>97</v>
      </c>
      <c r="E6" s="5">
        <f>SUM(E11:E45)</f>
        <v>70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70</v>
      </c>
    </row>
    <row r="7" spans="1:17" x14ac:dyDescent="0.2">
      <c r="B7" s="68" t="s">
        <v>159</v>
      </c>
      <c r="C7" s="68"/>
      <c r="D7" s="4" t="s">
        <v>99</v>
      </c>
      <c r="E7" s="5">
        <f>E5-E6</f>
        <v>200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200</v>
      </c>
    </row>
    <row r="8" spans="1:17" x14ac:dyDescent="0.2">
      <c r="B8" s="4" t="s">
        <v>102</v>
      </c>
      <c r="C8" s="6">
        <f>'จัดสรร งปม.'!$B$62</f>
        <v>417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งปม.'!$C$62</f>
        <v>สำรอง 5 (ผู้อำนวยการ)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70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70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500-000000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งปม.'!D64</f>
        <v>110</v>
      </c>
      <c r="F5" s="5">
        <f>'จัดสรร งปม.'!E64</f>
        <v>0</v>
      </c>
      <c r="G5" s="5">
        <f>'จัดสรร งปม.'!F64</f>
        <v>0</v>
      </c>
      <c r="H5" s="5">
        <f>'จัดสรร งปม.'!G64</f>
        <v>0</v>
      </c>
      <c r="I5" s="5">
        <f>'จัดสรร งปม.'!H64</f>
        <v>0</v>
      </c>
      <c r="J5" s="5">
        <f>'จัดสรร งปม.'!I64</f>
        <v>0</v>
      </c>
      <c r="K5" s="5">
        <f>'จัดสรร งปม.'!J64</f>
        <v>0</v>
      </c>
      <c r="L5" s="5">
        <f>'จัดสรร งปม.'!K64</f>
        <v>0</v>
      </c>
      <c r="M5" s="5">
        <f>'จัดสรร งปม.'!L64</f>
        <v>0</v>
      </c>
      <c r="N5" s="5">
        <f>'จัดสรร งปม.'!M64</f>
        <v>0</v>
      </c>
      <c r="O5" s="5">
        <f>'จัดสรร งปม.'!N64</f>
        <v>0</v>
      </c>
      <c r="P5" s="5">
        <f>'จัดสรร งปม.'!O64</f>
        <v>0</v>
      </c>
      <c r="Q5" s="5">
        <f>'จัดสรร งปม.'!P64</f>
        <v>110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68" t="s">
        <v>160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งปม.'!$B$64</f>
        <v>501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งปม.'!$C$64</f>
        <v>ค่าไฟฟ้า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600-000000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งปม.'!D65</f>
        <v>120</v>
      </c>
      <c r="F5" s="5">
        <f>'จัดสรร งปม.'!E65</f>
        <v>0</v>
      </c>
      <c r="G5" s="5">
        <f>'จัดสรร งปม.'!F65</f>
        <v>0</v>
      </c>
      <c r="H5" s="5">
        <f>'จัดสรร งปม.'!G65</f>
        <v>0</v>
      </c>
      <c r="I5" s="5">
        <f>'จัดสรร งปม.'!H65</f>
        <v>0</v>
      </c>
      <c r="J5" s="5">
        <f>'จัดสรร งปม.'!I65</f>
        <v>0</v>
      </c>
      <c r="K5" s="5">
        <f>'จัดสรร งปม.'!J65</f>
        <v>0</v>
      </c>
      <c r="L5" s="5">
        <f>'จัดสรร งปม.'!K65</f>
        <v>0</v>
      </c>
      <c r="M5" s="5">
        <f>'จัดสรร งปม.'!L65</f>
        <v>0</v>
      </c>
      <c r="N5" s="5">
        <f>'จัดสรร งปม.'!M65</f>
        <v>0</v>
      </c>
      <c r="O5" s="5">
        <f>'จัดสรร งปม.'!N65</f>
        <v>0</v>
      </c>
      <c r="P5" s="5">
        <f>'จัดสรร งปม.'!O65</f>
        <v>0</v>
      </c>
      <c r="Q5" s="5">
        <f>'จัดสรร งปม.'!P65</f>
        <v>120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68" t="s">
        <v>160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งปม.'!$B$65</f>
        <v>502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งปม.'!$C$65</f>
        <v>ค่าประปา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700-000000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งปม.'!D66</f>
        <v>130</v>
      </c>
      <c r="F5" s="5">
        <f>'จัดสรร งปม.'!E66</f>
        <v>0</v>
      </c>
      <c r="G5" s="5">
        <f>'จัดสรร งปม.'!F66</f>
        <v>0</v>
      </c>
      <c r="H5" s="5">
        <f>'จัดสรร งปม.'!G66</f>
        <v>0</v>
      </c>
      <c r="I5" s="5">
        <f>'จัดสรร งปม.'!H66</f>
        <v>0</v>
      </c>
      <c r="J5" s="5">
        <f>'จัดสรร งปม.'!I66</f>
        <v>0</v>
      </c>
      <c r="K5" s="5">
        <f>'จัดสรร งปม.'!J66</f>
        <v>0</v>
      </c>
      <c r="L5" s="5">
        <f>'จัดสรร งปม.'!K66</f>
        <v>0</v>
      </c>
      <c r="M5" s="5">
        <f>'จัดสรร งปม.'!L66</f>
        <v>0</v>
      </c>
      <c r="N5" s="5">
        <f>'จัดสรร งปม.'!M66</f>
        <v>0</v>
      </c>
      <c r="O5" s="5">
        <f>'จัดสรร งปม.'!N66</f>
        <v>0</v>
      </c>
      <c r="P5" s="5">
        <f>'จัดสรร งปม.'!O66</f>
        <v>0</v>
      </c>
      <c r="Q5" s="5">
        <f>'จัดสรร งปม.'!P66</f>
        <v>130</v>
      </c>
    </row>
    <row r="6" spans="1:17" x14ac:dyDescent="0.2">
      <c r="D6" s="4" t="s">
        <v>97</v>
      </c>
      <c r="E6" s="5">
        <f>SUM(E11:E45)</f>
        <v>30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30</v>
      </c>
    </row>
    <row r="7" spans="1:17" x14ac:dyDescent="0.2">
      <c r="B7" s="68" t="s">
        <v>160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งปม.'!$B$66</f>
        <v>503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งปม.'!$C$66</f>
        <v>ค่าโทรศัพท์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800-000000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งปม.'!D67</f>
        <v>140</v>
      </c>
      <c r="F5" s="5">
        <f>'จัดสรร งปม.'!E67</f>
        <v>0</v>
      </c>
      <c r="G5" s="5">
        <f>'จัดสรร งปม.'!F67</f>
        <v>0</v>
      </c>
      <c r="H5" s="5">
        <f>'จัดสรร งปม.'!G67</f>
        <v>0</v>
      </c>
      <c r="I5" s="5">
        <f>'จัดสรร งปม.'!H67</f>
        <v>0</v>
      </c>
      <c r="J5" s="5">
        <f>'จัดสรร งปม.'!I67</f>
        <v>0</v>
      </c>
      <c r="K5" s="5">
        <f>'จัดสรร งปม.'!J67</f>
        <v>0</v>
      </c>
      <c r="L5" s="5">
        <f>'จัดสรร งปม.'!K67</f>
        <v>0</v>
      </c>
      <c r="M5" s="5">
        <f>'จัดสรร งปม.'!L67</f>
        <v>0</v>
      </c>
      <c r="N5" s="5">
        <f>'จัดสรร งปม.'!M67</f>
        <v>0</v>
      </c>
      <c r="O5" s="5">
        <f>'จัดสรร งปม.'!N67</f>
        <v>0</v>
      </c>
      <c r="P5" s="5">
        <f>'จัดสรร งปม.'!O67</f>
        <v>0</v>
      </c>
      <c r="Q5" s="5">
        <f>'จัดสรร งปม.'!P67</f>
        <v>140</v>
      </c>
    </row>
    <row r="6" spans="1:17" x14ac:dyDescent="0.2">
      <c r="D6" s="4" t="s">
        <v>97</v>
      </c>
      <c r="E6" s="5">
        <f>SUM(E11:E45)</f>
        <v>40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40</v>
      </c>
    </row>
    <row r="7" spans="1:17" x14ac:dyDescent="0.2">
      <c r="B7" s="68" t="s">
        <v>160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งปม.'!$B$67</f>
        <v>504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งปม.'!$C$67</f>
        <v>ค่าไปรษณีย์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900-000000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งปม.'!D68</f>
        <v>150</v>
      </c>
      <c r="F5" s="5">
        <f>'จัดสรร งปม.'!E68</f>
        <v>0</v>
      </c>
      <c r="G5" s="5">
        <f>'จัดสรร งปม.'!F68</f>
        <v>0</v>
      </c>
      <c r="H5" s="5">
        <f>'จัดสรร งปม.'!G68</f>
        <v>0</v>
      </c>
      <c r="I5" s="5">
        <f>'จัดสรร งปม.'!H68</f>
        <v>0</v>
      </c>
      <c r="J5" s="5">
        <f>'จัดสรร งปม.'!I68</f>
        <v>0</v>
      </c>
      <c r="K5" s="5">
        <f>'จัดสรร งปม.'!J68</f>
        <v>0</v>
      </c>
      <c r="L5" s="5">
        <f>'จัดสรร งปม.'!K68</f>
        <v>0</v>
      </c>
      <c r="M5" s="5">
        <f>'จัดสรร งปม.'!L68</f>
        <v>0</v>
      </c>
      <c r="N5" s="5">
        <f>'จัดสรร งปม.'!M68</f>
        <v>0</v>
      </c>
      <c r="O5" s="5">
        <f>'จัดสรร งปม.'!N68</f>
        <v>0</v>
      </c>
      <c r="P5" s="5">
        <f>'จัดสรร งปม.'!O68</f>
        <v>0</v>
      </c>
      <c r="Q5" s="5">
        <f>'จัดสรร งปม.'!P68</f>
        <v>150</v>
      </c>
    </row>
    <row r="6" spans="1:17" x14ac:dyDescent="0.2">
      <c r="D6" s="4" t="s">
        <v>97</v>
      </c>
      <c r="E6" s="5">
        <f>SUM(E11:E45)</f>
        <v>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</v>
      </c>
    </row>
    <row r="7" spans="1:17" x14ac:dyDescent="0.2">
      <c r="B7" s="68" t="s">
        <v>160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งปม.'!$B$68</f>
        <v>505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งปม.'!$C$68</f>
        <v>ค่าอินเตอร์เนต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A00-00000000000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งปม.'!D69</f>
        <v>160</v>
      </c>
      <c r="F5" s="5">
        <f>'จัดสรร งปม.'!E69</f>
        <v>0</v>
      </c>
      <c r="G5" s="5">
        <f>'จัดสรร งปม.'!F69</f>
        <v>0</v>
      </c>
      <c r="H5" s="5">
        <f>'จัดสรร งปม.'!G69</f>
        <v>0</v>
      </c>
      <c r="I5" s="5">
        <f>'จัดสรร งปม.'!H69</f>
        <v>0</v>
      </c>
      <c r="J5" s="5">
        <f>'จัดสรร งปม.'!I69</f>
        <v>0</v>
      </c>
      <c r="K5" s="5">
        <f>'จัดสรร งปม.'!J69</f>
        <v>0</v>
      </c>
      <c r="L5" s="5">
        <f>'จัดสรร งปม.'!K69</f>
        <v>0</v>
      </c>
      <c r="M5" s="5">
        <f>'จัดสรร งปม.'!L69</f>
        <v>0</v>
      </c>
      <c r="N5" s="5">
        <f>'จัดสรร งปม.'!M69</f>
        <v>0</v>
      </c>
      <c r="O5" s="5">
        <f>'จัดสรร งปม.'!N69</f>
        <v>0</v>
      </c>
      <c r="P5" s="5">
        <f>'จัดสรร งปม.'!O69</f>
        <v>0</v>
      </c>
      <c r="Q5" s="5">
        <f>'จัดสรร งปม.'!P69</f>
        <v>160</v>
      </c>
    </row>
    <row r="6" spans="1:17" x14ac:dyDescent="0.2">
      <c r="D6" s="4" t="s">
        <v>97</v>
      </c>
      <c r="E6" s="5">
        <f>SUM(E11:E45)</f>
        <v>60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60</v>
      </c>
    </row>
    <row r="7" spans="1:17" x14ac:dyDescent="0.2">
      <c r="B7" s="68" t="s">
        <v>160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งปม.'!$B$69</f>
        <v>506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งปม.'!$C$69</f>
        <v>สำรอง 1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60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60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B00-000000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งปม.'!D70</f>
        <v>170</v>
      </c>
      <c r="F5" s="5">
        <f>'จัดสรร งปม.'!E70</f>
        <v>0</v>
      </c>
      <c r="G5" s="5">
        <f>'จัดสรร งปม.'!F70</f>
        <v>0</v>
      </c>
      <c r="H5" s="5">
        <f>'จัดสรร งปม.'!G70</f>
        <v>0</v>
      </c>
      <c r="I5" s="5">
        <f>'จัดสรร งปม.'!H70</f>
        <v>0</v>
      </c>
      <c r="J5" s="5">
        <f>'จัดสรร งปม.'!I70</f>
        <v>0</v>
      </c>
      <c r="K5" s="5">
        <f>'จัดสรร งปม.'!J70</f>
        <v>0</v>
      </c>
      <c r="L5" s="5">
        <f>'จัดสรร งปม.'!K70</f>
        <v>0</v>
      </c>
      <c r="M5" s="5">
        <f>'จัดสรร งปม.'!L70</f>
        <v>0</v>
      </c>
      <c r="N5" s="5">
        <f>'จัดสรร งปม.'!M70</f>
        <v>0</v>
      </c>
      <c r="O5" s="5">
        <f>'จัดสรร งปม.'!N70</f>
        <v>0</v>
      </c>
      <c r="P5" s="5">
        <f>'จัดสรร งปม.'!O70</f>
        <v>0</v>
      </c>
      <c r="Q5" s="5">
        <f>'จัดสรร งปม.'!P70</f>
        <v>170</v>
      </c>
    </row>
    <row r="6" spans="1:17" x14ac:dyDescent="0.2">
      <c r="D6" s="4" t="s">
        <v>97</v>
      </c>
      <c r="E6" s="5">
        <f>SUM(E11:E45)</f>
        <v>70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70</v>
      </c>
    </row>
    <row r="7" spans="1:17" x14ac:dyDescent="0.2">
      <c r="B7" s="68" t="s">
        <v>160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งปม.'!$B$70</f>
        <v>507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งปม.'!$C$70</f>
        <v>สำรอง 2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70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70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C00-000000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45"/>
  <sheetViews>
    <sheetView showGridLines="0" workbookViewId="0">
      <pane ySplit="10" topLeftCell="A11" activePane="bottomLeft" state="frozen"/>
      <selection pane="bottomLeft" sqref="A1:B1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งปม.'!D71</f>
        <v>180</v>
      </c>
      <c r="F5" s="5">
        <f>'จัดสรร งปม.'!E71</f>
        <v>0</v>
      </c>
      <c r="G5" s="5">
        <f>'จัดสรร งปม.'!F71</f>
        <v>0</v>
      </c>
      <c r="H5" s="5">
        <f>'จัดสรร งปม.'!G71</f>
        <v>0</v>
      </c>
      <c r="I5" s="5">
        <f>'จัดสรร งปม.'!H71</f>
        <v>0</v>
      </c>
      <c r="J5" s="5">
        <f>'จัดสรร งปม.'!I71</f>
        <v>0</v>
      </c>
      <c r="K5" s="5">
        <f>'จัดสรร งปม.'!J71</f>
        <v>0</v>
      </c>
      <c r="L5" s="5">
        <f>'จัดสรร งปม.'!K71</f>
        <v>0</v>
      </c>
      <c r="M5" s="5">
        <f>'จัดสรร งปม.'!L71</f>
        <v>0</v>
      </c>
      <c r="N5" s="5">
        <f>'จัดสรร งปม.'!M71</f>
        <v>0</v>
      </c>
      <c r="O5" s="5">
        <f>'จัดสรร งปม.'!N71</f>
        <v>0</v>
      </c>
      <c r="P5" s="5">
        <f>'จัดสรร งปม.'!O71</f>
        <v>0</v>
      </c>
      <c r="Q5" s="5">
        <f>'จัดสรร งปม.'!P71</f>
        <v>180</v>
      </c>
    </row>
    <row r="6" spans="1:17" x14ac:dyDescent="0.2">
      <c r="D6" s="4" t="s">
        <v>97</v>
      </c>
      <c r="E6" s="5">
        <f>SUM(E11:E45)</f>
        <v>80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80</v>
      </c>
    </row>
    <row r="7" spans="1:17" x14ac:dyDescent="0.2">
      <c r="B7" s="68" t="s">
        <v>160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งปม.'!$B$71</f>
        <v>508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งปม.'!$C$71</f>
        <v>สำรอง 3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80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80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C9:G9"/>
    <mergeCell ref="H9:M9"/>
    <mergeCell ref="O9:P9"/>
    <mergeCell ref="B7:C7"/>
    <mergeCell ref="A1:B1"/>
    <mergeCell ref="E3:G3"/>
    <mergeCell ref="H3:M3"/>
    <mergeCell ref="O3:P3"/>
    <mergeCell ref="Q3:Q4"/>
  </mergeCells>
  <hyperlinks>
    <hyperlink ref="A1:B1" location="'จัดสรร งปม.'!A1" display="กลับไปที่หน้าจัดสรร งปม." xr:uid="{00000000-0004-0000-3D00-000000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งปม.'!D73</f>
        <v>110</v>
      </c>
      <c r="F5" s="5">
        <f>'จัดสรร งปม.'!E73</f>
        <v>0</v>
      </c>
      <c r="G5" s="5">
        <f>'จัดสรร งปม.'!F73</f>
        <v>0</v>
      </c>
      <c r="H5" s="5">
        <f>'จัดสรร งปม.'!G73</f>
        <v>0</v>
      </c>
      <c r="I5" s="5">
        <f>'จัดสรร งปม.'!H73</f>
        <v>0</v>
      </c>
      <c r="J5" s="5">
        <f>'จัดสรร งปม.'!I73</f>
        <v>0</v>
      </c>
      <c r="K5" s="5">
        <f>'จัดสรร งปม.'!J73</f>
        <v>0</v>
      </c>
      <c r="L5" s="5">
        <f>'จัดสรร งปม.'!K73</f>
        <v>0</v>
      </c>
      <c r="M5" s="5">
        <f>'จัดสรร งปม.'!L73</f>
        <v>0</v>
      </c>
      <c r="N5" s="5">
        <f>'จัดสรร งปม.'!M73</f>
        <v>0</v>
      </c>
      <c r="O5" s="5">
        <f>'จัดสรร งปม.'!N73</f>
        <v>0</v>
      </c>
      <c r="P5" s="5">
        <f>'จัดสรร งปม.'!O73</f>
        <v>0</v>
      </c>
      <c r="Q5" s="5">
        <f>'จัดสรร งปม.'!P73</f>
        <v>110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งปม.'!$B$73</f>
        <v>601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งปม.'!$C$73</f>
        <v>โครงการด้านการพัฒนาผู้เรียน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3E00-000000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งปม.'!D74</f>
        <v>115</v>
      </c>
      <c r="F5" s="5">
        <f>'จัดสรร งปม.'!E74</f>
        <v>0</v>
      </c>
      <c r="G5" s="5">
        <f>'จัดสรร งปม.'!F74</f>
        <v>0</v>
      </c>
      <c r="H5" s="5">
        <f>'จัดสรร งปม.'!G74</f>
        <v>0</v>
      </c>
      <c r="I5" s="5">
        <f>'จัดสรร งปม.'!H74</f>
        <v>0</v>
      </c>
      <c r="J5" s="5">
        <f>'จัดสรร งปม.'!I74</f>
        <v>0</v>
      </c>
      <c r="K5" s="5">
        <f>'จัดสรร งปม.'!J74</f>
        <v>0</v>
      </c>
      <c r="L5" s="5">
        <f>'จัดสรร งปม.'!K74</f>
        <v>0</v>
      </c>
      <c r="M5" s="5">
        <f>'จัดสรร งปม.'!L74</f>
        <v>0</v>
      </c>
      <c r="N5" s="5">
        <f>'จัดสรร งปม.'!M74</f>
        <v>0</v>
      </c>
      <c r="O5" s="5">
        <f>'จัดสรร งปม.'!N74</f>
        <v>0</v>
      </c>
      <c r="P5" s="5">
        <f>'จัดสรร งปม.'!O74</f>
        <v>0</v>
      </c>
      <c r="Q5" s="5">
        <f>'จัดสรร งปม.'!P74</f>
        <v>115</v>
      </c>
    </row>
    <row r="6" spans="1:17" x14ac:dyDescent="0.2">
      <c r="D6" s="4" t="s">
        <v>97</v>
      </c>
      <c r="E6" s="5">
        <f>SUM(E11:E45)</f>
        <v>15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15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งปม.'!$B$74</f>
        <v>602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งปม.'!$C$74</f>
        <v>โครงการด้านการพัฒนาครูและบุคลากร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3F00-000000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งปม.'!D75</f>
        <v>120</v>
      </c>
      <c r="F5" s="5">
        <f>'จัดสรร งปม.'!E75</f>
        <v>0</v>
      </c>
      <c r="G5" s="5">
        <f>'จัดสรร งปม.'!F75</f>
        <v>0</v>
      </c>
      <c r="H5" s="5">
        <f>'จัดสรร งปม.'!G75</f>
        <v>0</v>
      </c>
      <c r="I5" s="5">
        <f>'จัดสรร งปม.'!H75</f>
        <v>0</v>
      </c>
      <c r="J5" s="5">
        <f>'จัดสรร งปม.'!I75</f>
        <v>0</v>
      </c>
      <c r="K5" s="5">
        <f>'จัดสรร งปม.'!J75</f>
        <v>0</v>
      </c>
      <c r="L5" s="5">
        <f>'จัดสรร งปม.'!K75</f>
        <v>0</v>
      </c>
      <c r="M5" s="5">
        <f>'จัดสรร งปม.'!L75</f>
        <v>0</v>
      </c>
      <c r="N5" s="5">
        <f>'จัดสรร งปม.'!M75</f>
        <v>0</v>
      </c>
      <c r="O5" s="5">
        <f>'จัดสรร งปม.'!N75</f>
        <v>0</v>
      </c>
      <c r="P5" s="5">
        <f>'จัดสรร งปม.'!O75</f>
        <v>0</v>
      </c>
      <c r="Q5" s="5">
        <f>'จัดสรร งปม.'!P75</f>
        <v>120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งปม.'!$B$75</f>
        <v>603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งปม.'!$C$75</f>
        <v>โครงการด้านการพัฒนาคุณภาพสถานศึกษา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000-000000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งปม.'!D76</f>
        <v>125</v>
      </c>
      <c r="F5" s="5">
        <f>'จัดสรร งปม.'!E76</f>
        <v>0</v>
      </c>
      <c r="G5" s="5">
        <f>'จัดสรร งปม.'!F76</f>
        <v>0</v>
      </c>
      <c r="H5" s="5">
        <f>'จัดสรร งปม.'!G76</f>
        <v>0</v>
      </c>
      <c r="I5" s="5">
        <f>'จัดสรร งปม.'!H76</f>
        <v>0</v>
      </c>
      <c r="J5" s="5">
        <f>'จัดสรร งปม.'!I76</f>
        <v>0</v>
      </c>
      <c r="K5" s="5">
        <f>'จัดสรร งปม.'!J76</f>
        <v>0</v>
      </c>
      <c r="L5" s="5">
        <f>'จัดสรร งปม.'!K76</f>
        <v>0</v>
      </c>
      <c r="M5" s="5">
        <f>'จัดสรร งปม.'!L76</f>
        <v>0</v>
      </c>
      <c r="N5" s="5">
        <f>'จัดสรร งปม.'!M76</f>
        <v>0</v>
      </c>
      <c r="O5" s="5">
        <f>'จัดสรร งปม.'!N76</f>
        <v>0</v>
      </c>
      <c r="P5" s="5">
        <f>'จัดสรร งปม.'!O76</f>
        <v>0</v>
      </c>
      <c r="Q5" s="5">
        <f>'จัดสรร งปม.'!P76</f>
        <v>125</v>
      </c>
    </row>
    <row r="6" spans="1:17" x14ac:dyDescent="0.2">
      <c r="D6" s="4" t="s">
        <v>97</v>
      </c>
      <c r="E6" s="5">
        <f>SUM(E11:E45)</f>
        <v>25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25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งปม.'!$B$76</f>
        <v>604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งปม.'!$C$76</f>
        <v>โครงการด้านการประกันคุณภาพภายใน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100-000000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งปม.'!D77</f>
        <v>130</v>
      </c>
      <c r="F5" s="5">
        <f>'จัดสรร งปม.'!E77</f>
        <v>0</v>
      </c>
      <c r="G5" s="5">
        <f>'จัดสรร งปม.'!F77</f>
        <v>0</v>
      </c>
      <c r="H5" s="5">
        <f>'จัดสรร งปม.'!G77</f>
        <v>0</v>
      </c>
      <c r="I5" s="5">
        <f>'จัดสรร งปม.'!H77</f>
        <v>0</v>
      </c>
      <c r="J5" s="5">
        <f>'จัดสรร งปม.'!I77</f>
        <v>0</v>
      </c>
      <c r="K5" s="5">
        <f>'จัดสรร งปม.'!J77</f>
        <v>0</v>
      </c>
      <c r="L5" s="5">
        <f>'จัดสรร งปม.'!K77</f>
        <v>0</v>
      </c>
      <c r="M5" s="5">
        <f>'จัดสรร งปม.'!L77</f>
        <v>0</v>
      </c>
      <c r="N5" s="5">
        <f>'จัดสรร งปม.'!M77</f>
        <v>0</v>
      </c>
      <c r="O5" s="5">
        <f>'จัดสรร งปม.'!N77</f>
        <v>0</v>
      </c>
      <c r="P5" s="5">
        <f>'จัดสรร งปม.'!O77</f>
        <v>0</v>
      </c>
      <c r="Q5" s="5">
        <f>'จัดสรร งปม.'!P77</f>
        <v>130</v>
      </c>
    </row>
    <row r="6" spans="1:17" x14ac:dyDescent="0.2">
      <c r="D6" s="4" t="s">
        <v>97</v>
      </c>
      <c r="E6" s="5">
        <f>SUM(E11:E45)</f>
        <v>30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30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งปม.'!$B$77</f>
        <v>605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งปม.'!$C$77</f>
        <v>โครงการ อวท.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200-000000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งปม.'!D78</f>
        <v>135</v>
      </c>
      <c r="F5" s="5">
        <f>'จัดสรร งปม.'!E78</f>
        <v>0</v>
      </c>
      <c r="G5" s="5">
        <f>'จัดสรร งปม.'!F78</f>
        <v>0</v>
      </c>
      <c r="H5" s="5">
        <f>'จัดสรร งปม.'!G78</f>
        <v>0</v>
      </c>
      <c r="I5" s="5">
        <f>'จัดสรร งปม.'!H78</f>
        <v>0</v>
      </c>
      <c r="J5" s="5">
        <f>'จัดสรร งปม.'!I78</f>
        <v>0</v>
      </c>
      <c r="K5" s="5">
        <f>'จัดสรร งปม.'!J78</f>
        <v>0</v>
      </c>
      <c r="L5" s="5">
        <f>'จัดสรร งปม.'!K78</f>
        <v>0</v>
      </c>
      <c r="M5" s="5">
        <f>'จัดสรร งปม.'!L78</f>
        <v>0</v>
      </c>
      <c r="N5" s="5">
        <f>'จัดสรร งปม.'!M78</f>
        <v>0</v>
      </c>
      <c r="O5" s="5">
        <f>'จัดสรร งปม.'!N78</f>
        <v>0</v>
      </c>
      <c r="P5" s="5">
        <f>'จัดสรร งปม.'!O78</f>
        <v>0</v>
      </c>
      <c r="Q5" s="5">
        <f>'จัดสรร งปม.'!P78</f>
        <v>135</v>
      </c>
    </row>
    <row r="6" spans="1:17" x14ac:dyDescent="0.2">
      <c r="D6" s="4" t="s">
        <v>97</v>
      </c>
      <c r="E6" s="5">
        <f>SUM(E11:E45)</f>
        <v>35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35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งปม.'!$B$78</f>
        <v>606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งปม.'!$C$78</f>
        <v>สำรอง 1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300-000000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งปม.'!D79</f>
        <v>140</v>
      </c>
      <c r="F5" s="5">
        <f>'จัดสรร งปม.'!E79</f>
        <v>0</v>
      </c>
      <c r="G5" s="5">
        <f>'จัดสรร งปม.'!F79</f>
        <v>0</v>
      </c>
      <c r="H5" s="5">
        <f>'จัดสรร งปม.'!G79</f>
        <v>0</v>
      </c>
      <c r="I5" s="5">
        <f>'จัดสรร งปม.'!H79</f>
        <v>0</v>
      </c>
      <c r="J5" s="5">
        <f>'จัดสรร งปม.'!I79</f>
        <v>0</v>
      </c>
      <c r="K5" s="5">
        <f>'จัดสรร งปม.'!J79</f>
        <v>0</v>
      </c>
      <c r="L5" s="5">
        <f>'จัดสรร งปม.'!K79</f>
        <v>0</v>
      </c>
      <c r="M5" s="5">
        <f>'จัดสรร งปม.'!L79</f>
        <v>0</v>
      </c>
      <c r="N5" s="5">
        <f>'จัดสรร งปม.'!M79</f>
        <v>0</v>
      </c>
      <c r="O5" s="5">
        <f>'จัดสรร งปม.'!N79</f>
        <v>0</v>
      </c>
      <c r="P5" s="5">
        <f>'จัดสรร งปม.'!O79</f>
        <v>0</v>
      </c>
      <c r="Q5" s="5">
        <f>'จัดสรร งปม.'!P79</f>
        <v>140</v>
      </c>
    </row>
    <row r="6" spans="1:17" x14ac:dyDescent="0.2">
      <c r="D6" s="4" t="s">
        <v>97</v>
      </c>
      <c r="E6" s="5">
        <f>SUM(E11:E45)</f>
        <v>40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40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งปม.'!$B$79</f>
        <v>607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งปม.'!$C$79</f>
        <v>สำรอง 2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400-000000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งปม.'!D80</f>
        <v>145</v>
      </c>
      <c r="F5" s="5">
        <f>'จัดสรร งปม.'!E80</f>
        <v>0</v>
      </c>
      <c r="G5" s="5">
        <f>'จัดสรร งปม.'!F80</f>
        <v>0</v>
      </c>
      <c r="H5" s="5">
        <f>'จัดสรร งปม.'!G80</f>
        <v>0</v>
      </c>
      <c r="I5" s="5">
        <f>'จัดสรร งปม.'!H80</f>
        <v>0</v>
      </c>
      <c r="J5" s="5">
        <f>'จัดสรร งปม.'!I80</f>
        <v>0</v>
      </c>
      <c r="K5" s="5">
        <f>'จัดสรร งปม.'!J80</f>
        <v>0</v>
      </c>
      <c r="L5" s="5">
        <f>'จัดสรร งปม.'!K80</f>
        <v>0</v>
      </c>
      <c r="M5" s="5">
        <f>'จัดสรร งปม.'!L80</f>
        <v>0</v>
      </c>
      <c r="N5" s="5">
        <f>'จัดสรร งปม.'!M80</f>
        <v>0</v>
      </c>
      <c r="O5" s="5">
        <f>'จัดสรร งปม.'!N80</f>
        <v>0</v>
      </c>
      <c r="P5" s="5">
        <f>'จัดสรร งปม.'!O80</f>
        <v>0</v>
      </c>
      <c r="Q5" s="5">
        <f>'จัดสรร งปม.'!P80</f>
        <v>145</v>
      </c>
    </row>
    <row r="6" spans="1:17" x14ac:dyDescent="0.2">
      <c r="D6" s="4" t="s">
        <v>97</v>
      </c>
      <c r="E6" s="5">
        <f>SUM(E11:E45)</f>
        <v>45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45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งปม.'!$B$80</f>
        <v>608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งปม.'!$C$80</f>
        <v>สำรอง 3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500-000000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งปม.'!D81</f>
        <v>150</v>
      </c>
      <c r="F5" s="5">
        <f>'จัดสรร งปม.'!E81</f>
        <v>0</v>
      </c>
      <c r="G5" s="5">
        <f>'จัดสรร งปม.'!F81</f>
        <v>0</v>
      </c>
      <c r="H5" s="5">
        <f>'จัดสรร งปม.'!G81</f>
        <v>0</v>
      </c>
      <c r="I5" s="5">
        <f>'จัดสรร งปม.'!H81</f>
        <v>0</v>
      </c>
      <c r="J5" s="5">
        <f>'จัดสรร งปม.'!I81</f>
        <v>0</v>
      </c>
      <c r="K5" s="5">
        <f>'จัดสรร งปม.'!J81</f>
        <v>0</v>
      </c>
      <c r="L5" s="5">
        <f>'จัดสรร งปม.'!K81</f>
        <v>0</v>
      </c>
      <c r="M5" s="5">
        <f>'จัดสรร งปม.'!L81</f>
        <v>0</v>
      </c>
      <c r="N5" s="5">
        <f>'จัดสรร งปม.'!M81</f>
        <v>0</v>
      </c>
      <c r="O5" s="5">
        <f>'จัดสรร งปม.'!N81</f>
        <v>0</v>
      </c>
      <c r="P5" s="5">
        <f>'จัดสรร งปม.'!O81</f>
        <v>0</v>
      </c>
      <c r="Q5" s="5">
        <f>'จัดสรร งปม.'!P81</f>
        <v>150</v>
      </c>
    </row>
    <row r="6" spans="1:17" x14ac:dyDescent="0.2">
      <c r="D6" s="4" t="s">
        <v>97</v>
      </c>
      <c r="E6" s="5">
        <f>SUM(E11:E45)</f>
        <v>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งปม.'!$B$81</f>
        <v>609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งปม.'!$C$81</f>
        <v>สำรอง 4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600-000000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Q45"/>
  <sheetViews>
    <sheetView showGridLines="0" workbookViewId="0">
      <pane ySplit="10" topLeftCell="A11" activePane="bottomLeft" state="frozen"/>
      <selection pane="bottomLeft" sqref="A1:B1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งปม.'!D82</f>
        <v>155</v>
      </c>
      <c r="F5" s="5">
        <f>'จัดสรร งปม.'!E82</f>
        <v>0</v>
      </c>
      <c r="G5" s="5">
        <f>'จัดสรร งปม.'!F82</f>
        <v>0</v>
      </c>
      <c r="H5" s="5">
        <f>'จัดสรร งปม.'!G82</f>
        <v>0</v>
      </c>
      <c r="I5" s="5">
        <f>'จัดสรร งปม.'!H82</f>
        <v>0</v>
      </c>
      <c r="J5" s="5">
        <f>'จัดสรร งปม.'!I82</f>
        <v>0</v>
      </c>
      <c r="K5" s="5">
        <f>'จัดสรร งปม.'!J82</f>
        <v>0</v>
      </c>
      <c r="L5" s="5">
        <f>'จัดสรร งปม.'!K82</f>
        <v>0</v>
      </c>
      <c r="M5" s="5">
        <f>'จัดสรร งปม.'!L82</f>
        <v>0</v>
      </c>
      <c r="N5" s="5">
        <f>'จัดสรร งปม.'!M82</f>
        <v>0</v>
      </c>
      <c r="O5" s="5">
        <f>'จัดสรร งปม.'!N82</f>
        <v>0</v>
      </c>
      <c r="P5" s="5">
        <f>'จัดสรร งปม.'!O82</f>
        <v>0</v>
      </c>
      <c r="Q5" s="5">
        <f>'จัดสรร งปม.'!P82</f>
        <v>155</v>
      </c>
    </row>
    <row r="6" spans="1:17" x14ac:dyDescent="0.2">
      <c r="D6" s="4" t="s">
        <v>97</v>
      </c>
      <c r="E6" s="5">
        <f>SUM(E11:E45)</f>
        <v>55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55</v>
      </c>
    </row>
    <row r="7" spans="1:17" x14ac:dyDescent="0.2">
      <c r="B7" s="68" t="s">
        <v>161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งปม.'!$B$82</f>
        <v>610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งปม.'!$C$82</f>
        <v>สำรอง 5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700-000000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งปม.'!D84</f>
        <v>105</v>
      </c>
      <c r="F5" s="5">
        <f>'จัดสรร งปม.'!E84</f>
        <v>0</v>
      </c>
      <c r="G5" s="5">
        <f>'จัดสรร งปม.'!F84</f>
        <v>0</v>
      </c>
      <c r="H5" s="5">
        <f>'จัดสรร งปม.'!G84</f>
        <v>0</v>
      </c>
      <c r="I5" s="5">
        <f>'จัดสรร งปม.'!H84</f>
        <v>0</v>
      </c>
      <c r="J5" s="5">
        <f>'จัดสรร งปม.'!I84</f>
        <v>0</v>
      </c>
      <c r="K5" s="5">
        <f>'จัดสรร งปม.'!J84</f>
        <v>0</v>
      </c>
      <c r="L5" s="5">
        <f>'จัดสรร งปม.'!K84</f>
        <v>0</v>
      </c>
      <c r="M5" s="5">
        <f>'จัดสรร งปม.'!L84</f>
        <v>0</v>
      </c>
      <c r="N5" s="5">
        <f>'จัดสรร งปม.'!M84</f>
        <v>0</v>
      </c>
      <c r="O5" s="5">
        <f>'จัดสรร งปม.'!N84</f>
        <v>0</v>
      </c>
      <c r="P5" s="5">
        <f>'จัดสรร งปม.'!O84</f>
        <v>0</v>
      </c>
      <c r="Q5" s="5">
        <f>'จัดสรร งปม.'!P84</f>
        <v>105</v>
      </c>
    </row>
    <row r="6" spans="1:17" x14ac:dyDescent="0.2">
      <c r="D6" s="4" t="s">
        <v>97</v>
      </c>
      <c r="E6" s="5">
        <f>SUM(E11:E45)</f>
        <v>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</v>
      </c>
    </row>
    <row r="7" spans="1:17" x14ac:dyDescent="0.2">
      <c r="B7" s="68" t="s">
        <v>162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งปม.'!$B$84</f>
        <v>701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งปม.'!$C$84</f>
        <v>สำรอง 1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800-000000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งปม.'!D85</f>
        <v>110</v>
      </c>
      <c r="F5" s="5">
        <f>'จัดสรร งปม.'!E85</f>
        <v>0</v>
      </c>
      <c r="G5" s="5">
        <f>'จัดสรร งปม.'!F85</f>
        <v>0</v>
      </c>
      <c r="H5" s="5">
        <f>'จัดสรร งปม.'!G85</f>
        <v>0</v>
      </c>
      <c r="I5" s="5">
        <f>'จัดสรร งปม.'!H85</f>
        <v>0</v>
      </c>
      <c r="J5" s="5">
        <f>'จัดสรร งปม.'!I85</f>
        <v>0</v>
      </c>
      <c r="K5" s="5">
        <f>'จัดสรร งปม.'!J85</f>
        <v>0</v>
      </c>
      <c r="L5" s="5">
        <f>'จัดสรร งปม.'!K85</f>
        <v>0</v>
      </c>
      <c r="M5" s="5">
        <f>'จัดสรร งปม.'!L85</f>
        <v>0</v>
      </c>
      <c r="N5" s="5">
        <f>'จัดสรร งปม.'!M85</f>
        <v>0</v>
      </c>
      <c r="O5" s="5">
        <f>'จัดสรร งปม.'!N85</f>
        <v>0</v>
      </c>
      <c r="P5" s="5">
        <f>'จัดสรร งปม.'!O85</f>
        <v>0</v>
      </c>
      <c r="Q5" s="5">
        <f>'จัดสรร งปม.'!P85</f>
        <v>110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68" t="s">
        <v>162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งปม.'!$B$85</f>
        <v>702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งปม.'!$C$85</f>
        <v>สำรอง 2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900-000000000000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งปม.'!D86</f>
        <v>115</v>
      </c>
      <c r="F5" s="5">
        <f>'จัดสรร งปม.'!E86</f>
        <v>0</v>
      </c>
      <c r="G5" s="5">
        <f>'จัดสรร งปม.'!F86</f>
        <v>0</v>
      </c>
      <c r="H5" s="5">
        <f>'จัดสรร งปม.'!G86</f>
        <v>0</v>
      </c>
      <c r="I5" s="5">
        <f>'จัดสรร งปม.'!H86</f>
        <v>0</v>
      </c>
      <c r="J5" s="5">
        <f>'จัดสรร งปม.'!I86</f>
        <v>0</v>
      </c>
      <c r="K5" s="5">
        <f>'จัดสรร งปม.'!J86</f>
        <v>0</v>
      </c>
      <c r="L5" s="5">
        <f>'จัดสรร งปม.'!K86</f>
        <v>0</v>
      </c>
      <c r="M5" s="5">
        <f>'จัดสรร งปม.'!L86</f>
        <v>0</v>
      </c>
      <c r="N5" s="5">
        <f>'จัดสรร งปม.'!M86</f>
        <v>0</v>
      </c>
      <c r="O5" s="5">
        <f>'จัดสรร งปม.'!N86</f>
        <v>0</v>
      </c>
      <c r="P5" s="5">
        <f>'จัดสรร งปม.'!O86</f>
        <v>0</v>
      </c>
      <c r="Q5" s="5">
        <f>'จัดสรร งปม.'!P86</f>
        <v>115</v>
      </c>
    </row>
    <row r="6" spans="1:17" x14ac:dyDescent="0.2">
      <c r="D6" s="4" t="s">
        <v>97</v>
      </c>
      <c r="E6" s="5">
        <f>SUM(E11:E45)</f>
        <v>15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15</v>
      </c>
    </row>
    <row r="7" spans="1:17" x14ac:dyDescent="0.2">
      <c r="B7" s="68" t="s">
        <v>162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งปม.'!$B$86</f>
        <v>703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งปม.'!$C$86</f>
        <v>สำรอง 3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A00-000000000000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งปม.'!D87</f>
        <v>120</v>
      </c>
      <c r="F5" s="5">
        <f>'จัดสรร งปม.'!E87</f>
        <v>0</v>
      </c>
      <c r="G5" s="5">
        <f>'จัดสรร งปม.'!F87</f>
        <v>0</v>
      </c>
      <c r="H5" s="5">
        <f>'จัดสรร งปม.'!G87</f>
        <v>0</v>
      </c>
      <c r="I5" s="5">
        <f>'จัดสรร งปม.'!H87</f>
        <v>0</v>
      </c>
      <c r="J5" s="5">
        <f>'จัดสรร งปม.'!I87</f>
        <v>0</v>
      </c>
      <c r="K5" s="5">
        <f>'จัดสรร งปม.'!J87</f>
        <v>0</v>
      </c>
      <c r="L5" s="5">
        <f>'จัดสรร งปม.'!K87</f>
        <v>0</v>
      </c>
      <c r="M5" s="5">
        <f>'จัดสรร งปม.'!L87</f>
        <v>0</v>
      </c>
      <c r="N5" s="5">
        <f>'จัดสรร งปม.'!M87</f>
        <v>0</v>
      </c>
      <c r="O5" s="5">
        <f>'จัดสรร งปม.'!N87</f>
        <v>0</v>
      </c>
      <c r="P5" s="5">
        <f>'จัดสรร งปม.'!O87</f>
        <v>0</v>
      </c>
      <c r="Q5" s="5">
        <f>'จัดสรร งปม.'!P87</f>
        <v>120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68" t="s">
        <v>162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งปม.'!$B$87</f>
        <v>704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งปม.'!$C$87</f>
        <v>สำรอง 4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B00-000000000000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45"/>
  <sheetViews>
    <sheetView showGridLines="0" workbookViewId="0">
      <pane ySplit="10" topLeftCell="A11" activePane="bottomLeft" state="frozen"/>
      <selection pane="bottomLeft" activeCell="B7" sqref="B7:C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งปม.'!D88</f>
        <v>125</v>
      </c>
      <c r="F5" s="5">
        <f>'จัดสรร งปม.'!E88</f>
        <v>0</v>
      </c>
      <c r="G5" s="5">
        <f>'จัดสรร งปม.'!F88</f>
        <v>0</v>
      </c>
      <c r="H5" s="5">
        <f>'จัดสรร งปม.'!G88</f>
        <v>0</v>
      </c>
      <c r="I5" s="5">
        <f>'จัดสรร งปม.'!H88</f>
        <v>0</v>
      </c>
      <c r="J5" s="5">
        <f>'จัดสรร งปม.'!I88</f>
        <v>0</v>
      </c>
      <c r="K5" s="5">
        <f>'จัดสรร งปม.'!J88</f>
        <v>0</v>
      </c>
      <c r="L5" s="5">
        <f>'จัดสรร งปม.'!K88</f>
        <v>0</v>
      </c>
      <c r="M5" s="5">
        <f>'จัดสรร งปม.'!L88</f>
        <v>0</v>
      </c>
      <c r="N5" s="5">
        <f>'จัดสรร งปม.'!M88</f>
        <v>0</v>
      </c>
      <c r="O5" s="5">
        <f>'จัดสรร งปม.'!N88</f>
        <v>0</v>
      </c>
      <c r="P5" s="5">
        <f>'จัดสรร งปม.'!O88</f>
        <v>0</v>
      </c>
      <c r="Q5" s="5">
        <f>'จัดสรร งปม.'!P88</f>
        <v>125</v>
      </c>
    </row>
    <row r="6" spans="1:17" x14ac:dyDescent="0.2">
      <c r="D6" s="4" t="s">
        <v>97</v>
      </c>
      <c r="E6" s="5">
        <f>SUM(E11:E45)</f>
        <v>25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25</v>
      </c>
    </row>
    <row r="7" spans="1:17" x14ac:dyDescent="0.2">
      <c r="B7" s="68" t="s">
        <v>162</v>
      </c>
      <c r="C7" s="68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งปม.'!$B$88</f>
        <v>705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งปม.'!$C$88</f>
        <v>สำรอง 5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9">
    <mergeCell ref="A1:B1"/>
    <mergeCell ref="E3:G3"/>
    <mergeCell ref="H3:M3"/>
    <mergeCell ref="O3:P3"/>
    <mergeCell ref="Q3:Q4"/>
    <mergeCell ref="C9:G9"/>
    <mergeCell ref="H9:M9"/>
    <mergeCell ref="O9:P9"/>
    <mergeCell ref="B7:C7"/>
  </mergeCells>
  <hyperlinks>
    <hyperlink ref="A1:B1" location="'จัดสรร งปม.'!A1" display="กลับไปที่หน้าจัดสรร งปม." xr:uid="{00000000-0004-0000-4C00-0000000000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งปม.'!D90</f>
        <v>105</v>
      </c>
      <c r="F5" s="5">
        <f>'จัดสรร งปม.'!E90</f>
        <v>0</v>
      </c>
      <c r="G5" s="5">
        <f>'จัดสรร งปม.'!F90</f>
        <v>0</v>
      </c>
      <c r="H5" s="5">
        <f>'จัดสรร งปม.'!G90</f>
        <v>0</v>
      </c>
      <c r="I5" s="5">
        <f>'จัดสรร งปม.'!H90</f>
        <v>0</v>
      </c>
      <c r="J5" s="5">
        <f>'จัดสรร งปม.'!I90</f>
        <v>0</v>
      </c>
      <c r="K5" s="5">
        <f>'จัดสรร งปม.'!J90</f>
        <v>0</v>
      </c>
      <c r="L5" s="5">
        <f>'จัดสรร งปม.'!K90</f>
        <v>0</v>
      </c>
      <c r="M5" s="5">
        <f>'จัดสรร งปม.'!L90</f>
        <v>0</v>
      </c>
      <c r="N5" s="5">
        <f>'จัดสรร งปม.'!M90</f>
        <v>0</v>
      </c>
      <c r="O5" s="5">
        <f>'จัดสรร งปม.'!N90</f>
        <v>0</v>
      </c>
      <c r="P5" s="5">
        <f>'จัดสรร งปม.'!O90</f>
        <v>0</v>
      </c>
      <c r="Q5" s="5">
        <f>'จัดสรร งปม.'!P90</f>
        <v>105</v>
      </c>
    </row>
    <row r="6" spans="1:17" x14ac:dyDescent="0.2">
      <c r="D6" s="4" t="s">
        <v>97</v>
      </c>
      <c r="E6" s="5">
        <f>SUM(E11:E45)</f>
        <v>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งปม.'!$B$90</f>
        <v>801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งปม.'!$C$90</f>
        <v>ค่าหนังสือเรียน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4D00-000000000000}"/>
  </hyperlinks>
  <pageMargins left="0.7" right="0.7" top="0.75" bottom="0.75" header="0.3" footer="0.3"/>
  <pageSetup paperSize="9" orientation="portrait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งปม.'!D91</f>
        <v>110</v>
      </c>
      <c r="F5" s="5">
        <f>'จัดสรร งปม.'!E91</f>
        <v>0</v>
      </c>
      <c r="G5" s="5">
        <f>'จัดสรร งปม.'!F91</f>
        <v>0</v>
      </c>
      <c r="H5" s="5">
        <f>'จัดสรร งปม.'!G91</f>
        <v>0</v>
      </c>
      <c r="I5" s="5">
        <f>'จัดสรร งปม.'!H91</f>
        <v>0</v>
      </c>
      <c r="J5" s="5">
        <f>'จัดสรร งปม.'!I91</f>
        <v>0</v>
      </c>
      <c r="K5" s="5">
        <f>'จัดสรร งปม.'!J91</f>
        <v>0</v>
      </c>
      <c r="L5" s="5">
        <f>'จัดสรร งปม.'!K91</f>
        <v>0</v>
      </c>
      <c r="M5" s="5">
        <f>'จัดสรร งปม.'!L91</f>
        <v>0</v>
      </c>
      <c r="N5" s="5">
        <f>'จัดสรร งปม.'!M91</f>
        <v>0</v>
      </c>
      <c r="O5" s="5">
        <f>'จัดสรร งปม.'!N91</f>
        <v>0</v>
      </c>
      <c r="P5" s="5">
        <f>'จัดสรร งปม.'!O91</f>
        <v>0</v>
      </c>
      <c r="Q5" s="5">
        <f>'จัดสรร งปม.'!P91</f>
        <v>110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งปม.'!$B$91</f>
        <v>802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งปม.'!$C$91</f>
        <v>ค่าเครื่องแบบนักเรียน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4E00-00000000000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งปม.'!D92</f>
        <v>115</v>
      </c>
      <c r="F5" s="5">
        <f>'จัดสรร งปม.'!E92</f>
        <v>0</v>
      </c>
      <c r="G5" s="5">
        <f>'จัดสรร งปม.'!F92</f>
        <v>0</v>
      </c>
      <c r="H5" s="5">
        <f>'จัดสรร งปม.'!G92</f>
        <v>0</v>
      </c>
      <c r="I5" s="5">
        <f>'จัดสรร งปม.'!H92</f>
        <v>0</v>
      </c>
      <c r="J5" s="5">
        <f>'จัดสรร งปม.'!I92</f>
        <v>0</v>
      </c>
      <c r="K5" s="5">
        <f>'จัดสรร งปม.'!J92</f>
        <v>0</v>
      </c>
      <c r="L5" s="5">
        <f>'จัดสรร งปม.'!K92</f>
        <v>0</v>
      </c>
      <c r="M5" s="5">
        <f>'จัดสรร งปม.'!L92</f>
        <v>0</v>
      </c>
      <c r="N5" s="5">
        <f>'จัดสรร งปม.'!M92</f>
        <v>0</v>
      </c>
      <c r="O5" s="5">
        <f>'จัดสรร งปม.'!N92</f>
        <v>0</v>
      </c>
      <c r="P5" s="5">
        <f>'จัดสรร งปม.'!O92</f>
        <v>0</v>
      </c>
      <c r="Q5" s="5">
        <f>'จัดสรร งปม.'!P92</f>
        <v>115</v>
      </c>
    </row>
    <row r="6" spans="1:17" x14ac:dyDescent="0.2">
      <c r="D6" s="4" t="s">
        <v>97</v>
      </c>
      <c r="E6" s="5">
        <f>SUM(E11:E45)</f>
        <v>15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15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งปม.'!$B$92</f>
        <v>803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งปม.'!$C$92</f>
        <v>ค่าอุปกรณ์การเรียน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4F00-000000000000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งปม.'!D93</f>
        <v>120</v>
      </c>
      <c r="F5" s="5">
        <f>'จัดสรร งปม.'!E93</f>
        <v>0</v>
      </c>
      <c r="G5" s="5">
        <f>'จัดสรร งปม.'!F93</f>
        <v>0</v>
      </c>
      <c r="H5" s="5">
        <f>'จัดสรร งปม.'!G93</f>
        <v>0</v>
      </c>
      <c r="I5" s="5">
        <f>'จัดสรร งปม.'!H93</f>
        <v>0</v>
      </c>
      <c r="J5" s="5">
        <f>'จัดสรร งปม.'!I93</f>
        <v>0</v>
      </c>
      <c r="K5" s="5">
        <f>'จัดสรร งปม.'!J93</f>
        <v>0</v>
      </c>
      <c r="L5" s="5">
        <f>'จัดสรร งปม.'!K93</f>
        <v>0</v>
      </c>
      <c r="M5" s="5">
        <f>'จัดสรร งปม.'!L93</f>
        <v>0</v>
      </c>
      <c r="N5" s="5">
        <f>'จัดสรร งปม.'!M93</f>
        <v>0</v>
      </c>
      <c r="O5" s="5">
        <f>'จัดสรร งปม.'!N93</f>
        <v>0</v>
      </c>
      <c r="P5" s="5">
        <f>'จัดสรร งปม.'!O93</f>
        <v>0</v>
      </c>
      <c r="Q5" s="5">
        <f>'จัดสรร งปม.'!P93</f>
        <v>120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งปม.'!$B$93</f>
        <v>804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งปม.'!$C$93</f>
        <v>ค่ากิจกรรมพัฒนาคุณภาพผู้เรียน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000-000000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Q45"/>
  <sheetViews>
    <sheetView showGridLines="0" workbookViewId="0">
      <pane ySplit="10" topLeftCell="A11" activePane="bottomLeft" state="frozen"/>
      <selection pane="bottomLeft" activeCell="B7" activeCellId="1" sqref="B7 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งปม.'!D94</f>
        <v>125</v>
      </c>
      <c r="F5" s="5">
        <f>'จัดสรร งปม.'!E94</f>
        <v>0</v>
      </c>
      <c r="G5" s="5">
        <f>'จัดสรร งปม.'!F94</f>
        <v>0</v>
      </c>
      <c r="H5" s="5">
        <f>'จัดสรร งปม.'!G94</f>
        <v>0</v>
      </c>
      <c r="I5" s="5">
        <f>'จัดสรร งปม.'!H94</f>
        <v>0</v>
      </c>
      <c r="J5" s="5">
        <f>'จัดสรร งปม.'!I94</f>
        <v>0</v>
      </c>
      <c r="K5" s="5">
        <f>'จัดสรร งปม.'!J94</f>
        <v>0</v>
      </c>
      <c r="L5" s="5">
        <f>'จัดสรร งปม.'!K94</f>
        <v>0</v>
      </c>
      <c r="M5" s="5">
        <f>'จัดสรร งปม.'!L94</f>
        <v>0</v>
      </c>
      <c r="N5" s="5">
        <f>'จัดสรร งปม.'!M94</f>
        <v>0</v>
      </c>
      <c r="O5" s="5">
        <f>'จัดสรร งปม.'!N94</f>
        <v>0</v>
      </c>
      <c r="P5" s="5">
        <f>'จัดสรร งปม.'!O94</f>
        <v>0</v>
      </c>
      <c r="Q5" s="5">
        <f>'จัดสรร งปม.'!P94</f>
        <v>125</v>
      </c>
    </row>
    <row r="6" spans="1:17" x14ac:dyDescent="0.2">
      <c r="D6" s="4" t="s">
        <v>97</v>
      </c>
      <c r="E6" s="5">
        <f>SUM(E11:E45)</f>
        <v>25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25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งปม.'!$B$94</f>
        <v>805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งปม.'!$C$94</f>
        <v>ค่าเครื่องมือประจำตัวผู้เรียน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100-000000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งปม.'!D95</f>
        <v>130</v>
      </c>
      <c r="F5" s="5">
        <f>'จัดสรร งปม.'!E95</f>
        <v>0</v>
      </c>
      <c r="G5" s="5">
        <f>'จัดสรร งปม.'!F95</f>
        <v>0</v>
      </c>
      <c r="H5" s="5">
        <f>'จัดสรร งปม.'!G95</f>
        <v>0</v>
      </c>
      <c r="I5" s="5">
        <f>'จัดสรร งปม.'!H95</f>
        <v>0</v>
      </c>
      <c r="J5" s="5">
        <f>'จัดสรร งปม.'!I95</f>
        <v>0</v>
      </c>
      <c r="K5" s="5">
        <f>'จัดสรร งปม.'!J95</f>
        <v>0</v>
      </c>
      <c r="L5" s="5">
        <f>'จัดสรร งปม.'!K95</f>
        <v>0</v>
      </c>
      <c r="M5" s="5">
        <f>'จัดสรร งปม.'!L95</f>
        <v>0</v>
      </c>
      <c r="N5" s="5">
        <f>'จัดสรร งปม.'!M95</f>
        <v>0</v>
      </c>
      <c r="O5" s="5">
        <f>'จัดสรร งปม.'!N95</f>
        <v>0</v>
      </c>
      <c r="P5" s="5">
        <f>'จัดสรร งปม.'!O95</f>
        <v>0</v>
      </c>
      <c r="Q5" s="5">
        <f>'จัดสรร งปม.'!P95</f>
        <v>130</v>
      </c>
    </row>
    <row r="6" spans="1:17" x14ac:dyDescent="0.2">
      <c r="D6" s="4" t="s">
        <v>97</v>
      </c>
      <c r="E6" s="5">
        <f>SUM(E11:E45)</f>
        <v>30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30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งปม.'!$B$95</f>
        <v>806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งปม.'!$C$95</f>
        <v>สำรอง 1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200-000000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งปม.'!D96</f>
        <v>135</v>
      </c>
      <c r="F5" s="5">
        <f>'จัดสรร งปม.'!E96</f>
        <v>0</v>
      </c>
      <c r="G5" s="5">
        <f>'จัดสรร งปม.'!F96</f>
        <v>0</v>
      </c>
      <c r="H5" s="5">
        <f>'จัดสรร งปม.'!G96</f>
        <v>0</v>
      </c>
      <c r="I5" s="5">
        <f>'จัดสรร งปม.'!H96</f>
        <v>0</v>
      </c>
      <c r="J5" s="5">
        <f>'จัดสรร งปม.'!I96</f>
        <v>0</v>
      </c>
      <c r="K5" s="5">
        <f>'จัดสรร งปม.'!J96</f>
        <v>0</v>
      </c>
      <c r="L5" s="5">
        <f>'จัดสรร งปม.'!K96</f>
        <v>0</v>
      </c>
      <c r="M5" s="5">
        <f>'จัดสรร งปม.'!L96</f>
        <v>0</v>
      </c>
      <c r="N5" s="5">
        <f>'จัดสรร งปม.'!M96</f>
        <v>0</v>
      </c>
      <c r="O5" s="5">
        <f>'จัดสรร งปม.'!N96</f>
        <v>0</v>
      </c>
      <c r="P5" s="5">
        <f>'จัดสรร งปม.'!O96</f>
        <v>0</v>
      </c>
      <c r="Q5" s="5">
        <f>'จัดสรร งปม.'!P96</f>
        <v>135</v>
      </c>
    </row>
    <row r="6" spans="1:17" x14ac:dyDescent="0.2">
      <c r="D6" s="4" t="s">
        <v>97</v>
      </c>
      <c r="E6" s="5">
        <f>SUM(E11:E45)</f>
        <v>35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35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งปม.'!$B$96</f>
        <v>807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งปม.'!$C$96</f>
        <v>สำรอง 2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300-000000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งปม.'!D97</f>
        <v>140</v>
      </c>
      <c r="F5" s="5">
        <f>'จัดสรร งปม.'!E97</f>
        <v>0</v>
      </c>
      <c r="G5" s="5">
        <f>'จัดสรร งปม.'!F97</f>
        <v>0</v>
      </c>
      <c r="H5" s="5">
        <f>'จัดสรร งปม.'!G97</f>
        <v>0</v>
      </c>
      <c r="I5" s="5">
        <f>'จัดสรร งปม.'!H97</f>
        <v>0</v>
      </c>
      <c r="J5" s="5">
        <f>'จัดสรร งปม.'!I97</f>
        <v>0</v>
      </c>
      <c r="K5" s="5">
        <f>'จัดสรร งปม.'!J97</f>
        <v>0</v>
      </c>
      <c r="L5" s="5">
        <f>'จัดสรร งปม.'!K97</f>
        <v>0</v>
      </c>
      <c r="M5" s="5">
        <f>'จัดสรร งปม.'!L97</f>
        <v>0</v>
      </c>
      <c r="N5" s="5">
        <f>'จัดสรร งปม.'!M97</f>
        <v>0</v>
      </c>
      <c r="O5" s="5">
        <f>'จัดสรร งปม.'!N97</f>
        <v>0</v>
      </c>
      <c r="P5" s="5">
        <f>'จัดสรร งปม.'!O97</f>
        <v>0</v>
      </c>
      <c r="Q5" s="5">
        <f>'จัดสรร งปม.'!P97</f>
        <v>140</v>
      </c>
    </row>
    <row r="6" spans="1:17" x14ac:dyDescent="0.2">
      <c r="D6" s="4" t="s">
        <v>97</v>
      </c>
      <c r="E6" s="5">
        <f>SUM(E11:E45)</f>
        <v>40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40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งปม.'!$B$97</f>
        <v>808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งปม.'!$C$97</f>
        <v>สำรอง 3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400-000000000000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งปม.'!D88</f>
        <v>125</v>
      </c>
      <c r="F5" s="5">
        <f>'จัดสรร งปม.'!E88</f>
        <v>0</v>
      </c>
      <c r="G5" s="5">
        <f>'จัดสรร งปม.'!F88</f>
        <v>0</v>
      </c>
      <c r="H5" s="5">
        <f>'จัดสรร งปม.'!G88</f>
        <v>0</v>
      </c>
      <c r="I5" s="5">
        <f>'จัดสรร งปม.'!H88</f>
        <v>0</v>
      </c>
      <c r="J5" s="5">
        <f>'จัดสรร งปม.'!I88</f>
        <v>0</v>
      </c>
      <c r="K5" s="5">
        <f>'จัดสรร งปม.'!J88</f>
        <v>0</v>
      </c>
      <c r="L5" s="5">
        <f>'จัดสรร งปม.'!K88</f>
        <v>0</v>
      </c>
      <c r="M5" s="5">
        <f>'จัดสรร งปม.'!L88</f>
        <v>0</v>
      </c>
      <c r="N5" s="5">
        <f>'จัดสรร งปม.'!M88</f>
        <v>0</v>
      </c>
      <c r="O5" s="5">
        <f>'จัดสรร งปม.'!N88</f>
        <v>0</v>
      </c>
      <c r="P5" s="5">
        <f>'จัดสรร งปม.'!O88</f>
        <v>0</v>
      </c>
      <c r="Q5" s="5">
        <f>'จัดสรร งปม.'!P88</f>
        <v>125</v>
      </c>
    </row>
    <row r="6" spans="1:17" x14ac:dyDescent="0.2">
      <c r="D6" s="4" t="s">
        <v>97</v>
      </c>
      <c r="E6" s="5">
        <f>SUM(E11:E45)</f>
        <v>25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25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งปม.'!$B$98</f>
        <v>809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งปม.'!$C$98</f>
        <v>สำรอง 4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500-000000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Q45"/>
  <sheetViews>
    <sheetView showGridLines="0" workbookViewId="0">
      <pane ySplit="10" topLeftCell="A11" activePane="bottomLeft" state="frozen"/>
      <selection pane="bottomLeft" sqref="A1:B1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งปม.'!D99</f>
        <v>150</v>
      </c>
      <c r="F5" s="5">
        <f>'จัดสรร งปม.'!E99</f>
        <v>0</v>
      </c>
      <c r="G5" s="5">
        <f>'จัดสรร งปม.'!F99</f>
        <v>0</v>
      </c>
      <c r="H5" s="5">
        <f>'จัดสรร งปม.'!G99</f>
        <v>0</v>
      </c>
      <c r="I5" s="5">
        <f>'จัดสรร งปม.'!H99</f>
        <v>0</v>
      </c>
      <c r="J5" s="5">
        <f>'จัดสรร งปม.'!I99</f>
        <v>0</v>
      </c>
      <c r="K5" s="5">
        <f>'จัดสรร งปม.'!J99</f>
        <v>0</v>
      </c>
      <c r="L5" s="5">
        <f>'จัดสรร งปม.'!K99</f>
        <v>0</v>
      </c>
      <c r="M5" s="5">
        <f>'จัดสรร งปม.'!L99</f>
        <v>0</v>
      </c>
      <c r="N5" s="5">
        <f>'จัดสรร งปม.'!M99</f>
        <v>0</v>
      </c>
      <c r="O5" s="5">
        <f>'จัดสรร งปม.'!N99</f>
        <v>0</v>
      </c>
      <c r="P5" s="5">
        <f>'จัดสรร งปม.'!O99</f>
        <v>0</v>
      </c>
      <c r="Q5" s="5">
        <f>'จัดสรร งปม.'!P99</f>
        <v>150</v>
      </c>
    </row>
    <row r="6" spans="1:17" x14ac:dyDescent="0.2">
      <c r="D6" s="4" t="s">
        <v>97</v>
      </c>
      <c r="E6" s="5">
        <f>SUM(E11:E45)</f>
        <v>50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50</v>
      </c>
    </row>
    <row r="7" spans="1:17" x14ac:dyDescent="0.2">
      <c r="B7" s="51" t="s">
        <v>163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งปม.'!$B$99</f>
        <v>810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งปม.'!$C$99</f>
        <v>สำรอง 5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600-000000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งปม.'!D101</f>
        <v>101</v>
      </c>
      <c r="F5" s="5">
        <f>'จัดสรร งปม.'!E101</f>
        <v>0</v>
      </c>
      <c r="G5" s="5">
        <f>'จัดสรร งปม.'!F101</f>
        <v>0</v>
      </c>
      <c r="H5" s="5">
        <f>'จัดสรร งปม.'!G101</f>
        <v>0</v>
      </c>
      <c r="I5" s="5">
        <f>'จัดสรร งปม.'!H101</f>
        <v>0</v>
      </c>
      <c r="J5" s="5">
        <f>'จัดสรร งปม.'!I101</f>
        <v>0</v>
      </c>
      <c r="K5" s="5">
        <f>'จัดสรร งปม.'!J101</f>
        <v>0</v>
      </c>
      <c r="L5" s="5">
        <f>'จัดสรร งปม.'!K101</f>
        <v>0</v>
      </c>
      <c r="M5" s="5">
        <f>'จัดสรร งปม.'!L101</f>
        <v>0</v>
      </c>
      <c r="N5" s="5">
        <f>'จัดสรร งปม.'!M101</f>
        <v>0</v>
      </c>
      <c r="O5" s="5">
        <f>'จัดสรร งปม.'!N101</f>
        <v>0</v>
      </c>
      <c r="P5" s="5">
        <f>'จัดสรร งปม.'!O101</f>
        <v>0</v>
      </c>
      <c r="Q5" s="5">
        <f>'จัดสรร งปม.'!P101</f>
        <v>101</v>
      </c>
    </row>
    <row r="6" spans="1:17" x14ac:dyDescent="0.2">
      <c r="D6" s="4" t="s">
        <v>97</v>
      </c>
      <c r="E6" s="5">
        <f>SUM(E11:E45)</f>
        <v>1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งปม.'!$B$101</f>
        <v>901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งปม.'!$C$101</f>
        <v>โครงการโรงเรียนตามรอยพระยุคลบาทฯ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700-00000000000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งปม.'!D102</f>
        <v>102</v>
      </c>
      <c r="F5" s="5">
        <f>'จัดสรร งปม.'!E102</f>
        <v>0</v>
      </c>
      <c r="G5" s="5">
        <f>'จัดสรร งปม.'!F102</f>
        <v>0</v>
      </c>
      <c r="H5" s="5">
        <f>'จัดสรร งปม.'!G102</f>
        <v>0</v>
      </c>
      <c r="I5" s="5">
        <f>'จัดสรร งปม.'!H102</f>
        <v>0</v>
      </c>
      <c r="J5" s="5">
        <f>'จัดสรร งปม.'!I102</f>
        <v>0</v>
      </c>
      <c r="K5" s="5">
        <f>'จัดสรร งปม.'!J102</f>
        <v>0</v>
      </c>
      <c r="L5" s="5">
        <f>'จัดสรร งปม.'!K102</f>
        <v>0</v>
      </c>
      <c r="M5" s="5">
        <f>'จัดสรร งปม.'!L102</f>
        <v>0</v>
      </c>
      <c r="N5" s="5">
        <f>'จัดสรร งปม.'!M102</f>
        <v>0</v>
      </c>
      <c r="O5" s="5">
        <f>'จัดสรร งปม.'!N102</f>
        <v>0</v>
      </c>
      <c r="P5" s="5">
        <f>'จัดสรร งปม.'!O102</f>
        <v>0</v>
      </c>
      <c r="Q5" s="5">
        <f>'จัดสรร งปม.'!P102</f>
        <v>102</v>
      </c>
    </row>
    <row r="6" spans="1:17" x14ac:dyDescent="0.2">
      <c r="D6" s="4" t="s">
        <v>97</v>
      </c>
      <c r="E6" s="5">
        <f>SUM(E11:E45)</f>
        <v>2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งปม.'!$B$102</f>
        <v>902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งปม.'!$C$102</f>
        <v>โครงการโรงเรียนคุณธรรม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800-000000000000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งปม.'!D103</f>
        <v>103</v>
      </c>
      <c r="F5" s="5">
        <f>'จัดสรร งปม.'!E103</f>
        <v>0</v>
      </c>
      <c r="G5" s="5">
        <f>'จัดสรร งปม.'!F103</f>
        <v>0</v>
      </c>
      <c r="H5" s="5">
        <f>'จัดสรร งปม.'!G103</f>
        <v>0</v>
      </c>
      <c r="I5" s="5">
        <f>'จัดสรร งปม.'!H103</f>
        <v>0</v>
      </c>
      <c r="J5" s="5">
        <f>'จัดสรร งปม.'!I103</f>
        <v>0</v>
      </c>
      <c r="K5" s="5">
        <f>'จัดสรร งปม.'!J103</f>
        <v>0</v>
      </c>
      <c r="L5" s="5">
        <f>'จัดสรร งปม.'!K103</f>
        <v>0</v>
      </c>
      <c r="M5" s="5">
        <f>'จัดสรร งปม.'!L103</f>
        <v>0</v>
      </c>
      <c r="N5" s="5">
        <f>'จัดสรร งปม.'!M103</f>
        <v>0</v>
      </c>
      <c r="O5" s="5">
        <f>'จัดสรร งปม.'!N103</f>
        <v>0</v>
      </c>
      <c r="P5" s="5">
        <f>'จัดสรร งปม.'!O103</f>
        <v>0</v>
      </c>
      <c r="Q5" s="5">
        <f>'จัดสรร งปม.'!P103</f>
        <v>103</v>
      </c>
    </row>
    <row r="6" spans="1:17" x14ac:dyDescent="0.2">
      <c r="D6" s="4" t="s">
        <v>97</v>
      </c>
      <c r="E6" s="5">
        <f>SUM(E11:E45)</f>
        <v>3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3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งปม.'!$B$103</f>
        <v>903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งปม.'!$C$103</f>
        <v>โครงการการสร้างผู้ประกอบการใหม่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3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9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งปม.'!D104</f>
        <v>104</v>
      </c>
      <c r="F5" s="5">
        <f>'จัดสรร งปม.'!E104</f>
        <v>0</v>
      </c>
      <c r="G5" s="5">
        <f>'จัดสรร งปม.'!F104</f>
        <v>0</v>
      </c>
      <c r="H5" s="5">
        <f>'จัดสรร งปม.'!G104</f>
        <v>0</v>
      </c>
      <c r="I5" s="5">
        <f>'จัดสรร งปม.'!H104</f>
        <v>0</v>
      </c>
      <c r="J5" s="5">
        <f>'จัดสรร งปม.'!I104</f>
        <v>0</v>
      </c>
      <c r="K5" s="5">
        <f>'จัดสรร งปม.'!J104</f>
        <v>0</v>
      </c>
      <c r="L5" s="5">
        <f>'จัดสรร งปม.'!K104</f>
        <v>0</v>
      </c>
      <c r="M5" s="5">
        <f>'จัดสรร งปม.'!L104</f>
        <v>0</v>
      </c>
      <c r="N5" s="5">
        <f>'จัดสรร งปม.'!M104</f>
        <v>0</v>
      </c>
      <c r="O5" s="5">
        <f>'จัดสรร งปม.'!N104</f>
        <v>0</v>
      </c>
      <c r="P5" s="5">
        <f>'จัดสรร งปม.'!O104</f>
        <v>0</v>
      </c>
      <c r="Q5" s="5">
        <f>'จัดสรร งปม.'!P104</f>
        <v>104</v>
      </c>
    </row>
    <row r="6" spans="1:17" x14ac:dyDescent="0.2">
      <c r="D6" s="4" t="s">
        <v>97</v>
      </c>
      <c r="E6" s="5">
        <f>SUM(E11:E45)</f>
        <v>4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4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งปม.'!$B$104</f>
        <v>904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งปม.'!$C$104</f>
        <v>โครงการอาชีวะอาสาร่วมด้วยช่วยประชาชน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4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A00-00000000000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งปม.'!D105</f>
        <v>105</v>
      </c>
      <c r="F5" s="5">
        <f>'จัดสรร งปม.'!E105</f>
        <v>0</v>
      </c>
      <c r="G5" s="5">
        <f>'จัดสรร งปม.'!F105</f>
        <v>0</v>
      </c>
      <c r="H5" s="5">
        <f>'จัดสรร งปม.'!G105</f>
        <v>0</v>
      </c>
      <c r="I5" s="5">
        <f>'จัดสรร งปม.'!H105</f>
        <v>0</v>
      </c>
      <c r="J5" s="5">
        <f>'จัดสรร งปม.'!I105</f>
        <v>0</v>
      </c>
      <c r="K5" s="5">
        <f>'จัดสรร งปม.'!J105</f>
        <v>0</v>
      </c>
      <c r="L5" s="5">
        <f>'จัดสรร งปม.'!K105</f>
        <v>0</v>
      </c>
      <c r="M5" s="5">
        <f>'จัดสรร งปม.'!L105</f>
        <v>0</v>
      </c>
      <c r="N5" s="5">
        <f>'จัดสรร งปม.'!M105</f>
        <v>0</v>
      </c>
      <c r="O5" s="5">
        <f>'จัดสรร งปม.'!N105</f>
        <v>0</v>
      </c>
      <c r="P5" s="5">
        <f>'จัดสรร งปม.'!O105</f>
        <v>0</v>
      </c>
      <c r="Q5" s="5">
        <f>'จัดสรร งปม.'!P105</f>
        <v>105</v>
      </c>
    </row>
    <row r="6" spans="1:17" x14ac:dyDescent="0.2">
      <c r="D6" s="4" t="s">
        <v>97</v>
      </c>
      <c r="E6" s="5">
        <f>SUM(E11:E45)</f>
        <v>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5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งปม.'!$B$105</f>
        <v>905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งปม.'!$C$105</f>
        <v>โครงการศูนย์ซ่อมสร้างเพื่อชุมชน (Fix it)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B00-000000000000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งปม.'!D106</f>
        <v>106</v>
      </c>
      <c r="F5" s="5">
        <f>'จัดสรร งปม.'!E106</f>
        <v>0</v>
      </c>
      <c r="G5" s="5">
        <f>'จัดสรร งปม.'!F106</f>
        <v>0</v>
      </c>
      <c r="H5" s="5">
        <f>'จัดสรร งปม.'!G106</f>
        <v>0</v>
      </c>
      <c r="I5" s="5">
        <f>'จัดสรร งปม.'!H106</f>
        <v>0</v>
      </c>
      <c r="J5" s="5">
        <f>'จัดสรร งปม.'!I106</f>
        <v>0</v>
      </c>
      <c r="K5" s="5">
        <f>'จัดสรร งปม.'!J106</f>
        <v>0</v>
      </c>
      <c r="L5" s="5">
        <f>'จัดสรร งปม.'!K106</f>
        <v>0</v>
      </c>
      <c r="M5" s="5">
        <f>'จัดสรร งปม.'!L106</f>
        <v>0</v>
      </c>
      <c r="N5" s="5">
        <f>'จัดสรร งปม.'!M106</f>
        <v>0</v>
      </c>
      <c r="O5" s="5">
        <f>'จัดสรร งปม.'!N106</f>
        <v>0</v>
      </c>
      <c r="P5" s="5">
        <f>'จัดสรร งปม.'!O106</f>
        <v>0</v>
      </c>
      <c r="Q5" s="5">
        <f>'จัดสรร งปม.'!P106</f>
        <v>106</v>
      </c>
    </row>
    <row r="6" spans="1:17" x14ac:dyDescent="0.2">
      <c r="D6" s="4" t="s">
        <v>97</v>
      </c>
      <c r="E6" s="5">
        <f>SUM(E11:E45)</f>
        <v>6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6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งปม.'!$B$106</f>
        <v>906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งปม.'!$C$106</f>
        <v>โครงการทุนเฉลิมราชกุมารี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6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C00-000000000000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งปม.'!D107</f>
        <v>107</v>
      </c>
      <c r="F5" s="5">
        <f>'จัดสรร งปม.'!E107</f>
        <v>0</v>
      </c>
      <c r="G5" s="5">
        <f>'จัดสรร งปม.'!F107</f>
        <v>0</v>
      </c>
      <c r="H5" s="5">
        <f>'จัดสรร งปม.'!G107</f>
        <v>0</v>
      </c>
      <c r="I5" s="5">
        <f>'จัดสรร งปม.'!H107</f>
        <v>0</v>
      </c>
      <c r="J5" s="5">
        <f>'จัดสรร งปม.'!I107</f>
        <v>0</v>
      </c>
      <c r="K5" s="5">
        <f>'จัดสรร งปม.'!J107</f>
        <v>0</v>
      </c>
      <c r="L5" s="5">
        <f>'จัดสรร งปม.'!K107</f>
        <v>0</v>
      </c>
      <c r="M5" s="5">
        <f>'จัดสรร งปม.'!L107</f>
        <v>0</v>
      </c>
      <c r="N5" s="5">
        <f>'จัดสรร งปม.'!M107</f>
        <v>0</v>
      </c>
      <c r="O5" s="5">
        <f>'จัดสรร งปม.'!N107</f>
        <v>0</v>
      </c>
      <c r="P5" s="5">
        <f>'จัดสรร งปม.'!O107</f>
        <v>0</v>
      </c>
      <c r="Q5" s="5">
        <f>'จัดสรร งปม.'!P107</f>
        <v>107</v>
      </c>
    </row>
    <row r="6" spans="1:17" x14ac:dyDescent="0.2">
      <c r="D6" s="4" t="s">
        <v>97</v>
      </c>
      <c r="E6" s="5">
        <f>SUM(E11:E45)</f>
        <v>7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7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งปม.'!$B$107</f>
        <v>907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งปม.'!$C$107</f>
        <v>โครงการสิ่งประดิษฐ์ของคนรุ่นใหม่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7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D00-000000000000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งปม.'!D108</f>
        <v>108</v>
      </c>
      <c r="F5" s="5">
        <f>'จัดสรร งปม.'!E108</f>
        <v>0</v>
      </c>
      <c r="G5" s="5">
        <f>'จัดสรร งปม.'!F108</f>
        <v>0</v>
      </c>
      <c r="H5" s="5">
        <f>'จัดสรร งปม.'!G108</f>
        <v>0</v>
      </c>
      <c r="I5" s="5">
        <f>'จัดสรร งปม.'!H108</f>
        <v>0</v>
      </c>
      <c r="J5" s="5">
        <f>'จัดสรร งปม.'!I108</f>
        <v>0</v>
      </c>
      <c r="K5" s="5">
        <f>'จัดสรร งปม.'!J108</f>
        <v>0</v>
      </c>
      <c r="L5" s="5">
        <f>'จัดสรร งปม.'!K108</f>
        <v>0</v>
      </c>
      <c r="M5" s="5">
        <f>'จัดสรร งปม.'!L108</f>
        <v>0</v>
      </c>
      <c r="N5" s="5">
        <f>'จัดสรร งปม.'!M108</f>
        <v>0</v>
      </c>
      <c r="O5" s="5">
        <f>'จัดสรร งปม.'!N108</f>
        <v>0</v>
      </c>
      <c r="P5" s="5">
        <f>'จัดสรร งปม.'!O108</f>
        <v>0</v>
      </c>
      <c r="Q5" s="5">
        <f>'จัดสรร งปม.'!P108</f>
        <v>108</v>
      </c>
    </row>
    <row r="6" spans="1:17" x14ac:dyDescent="0.2">
      <c r="D6" s="4" t="s">
        <v>97</v>
      </c>
      <c r="E6" s="5">
        <f>SUM(E11:E45)</f>
        <v>8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8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งปม.'!$B$108</f>
        <v>908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งปม.'!$C$108</f>
        <v>โครงการลดจำนวนการออกกลางคัน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8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E00-000000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งปม.'!D109</f>
        <v>109</v>
      </c>
      <c r="F5" s="5">
        <f>'จัดสรร งปม.'!E109</f>
        <v>0</v>
      </c>
      <c r="G5" s="5">
        <f>'จัดสรร งปม.'!F109</f>
        <v>0</v>
      </c>
      <c r="H5" s="5">
        <f>'จัดสรร งปม.'!G109</f>
        <v>0</v>
      </c>
      <c r="I5" s="5">
        <f>'จัดสรร งปม.'!H109</f>
        <v>0</v>
      </c>
      <c r="J5" s="5">
        <f>'จัดสรร งปม.'!I109</f>
        <v>0</v>
      </c>
      <c r="K5" s="5">
        <f>'จัดสรร งปม.'!J109</f>
        <v>0</v>
      </c>
      <c r="L5" s="5">
        <f>'จัดสรร งปม.'!K109</f>
        <v>0</v>
      </c>
      <c r="M5" s="5">
        <f>'จัดสรร งปม.'!L109</f>
        <v>0</v>
      </c>
      <c r="N5" s="5">
        <f>'จัดสรร งปม.'!M109</f>
        <v>0</v>
      </c>
      <c r="O5" s="5">
        <f>'จัดสรร งปม.'!N109</f>
        <v>0</v>
      </c>
      <c r="P5" s="5">
        <f>'จัดสรร งปม.'!O109</f>
        <v>0</v>
      </c>
      <c r="Q5" s="5">
        <f>'จัดสรร งปม.'!P109</f>
        <v>109</v>
      </c>
    </row>
    <row r="6" spans="1:17" x14ac:dyDescent="0.2">
      <c r="D6" s="4" t="s">
        <v>97</v>
      </c>
      <c r="E6" s="5">
        <f>SUM(E11:E45)</f>
        <v>9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9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งปม.'!$B$109</f>
        <v>909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งปม.'!$C$109</f>
        <v>โครงการโรงเรียนเศรษฐกิจพอเพียง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9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5F00-00000000000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งปม.'!D110</f>
        <v>110</v>
      </c>
      <c r="F5" s="5">
        <f>'จัดสรร งปม.'!E110</f>
        <v>0</v>
      </c>
      <c r="G5" s="5">
        <f>'จัดสรร งปม.'!F110</f>
        <v>0</v>
      </c>
      <c r="H5" s="5">
        <f>'จัดสรร งปม.'!G110</f>
        <v>0</v>
      </c>
      <c r="I5" s="5">
        <f>'จัดสรร งปม.'!H110</f>
        <v>0</v>
      </c>
      <c r="J5" s="5">
        <f>'จัดสรร งปม.'!I110</f>
        <v>0</v>
      </c>
      <c r="K5" s="5">
        <f>'จัดสรร งปม.'!J110</f>
        <v>0</v>
      </c>
      <c r="L5" s="5">
        <f>'จัดสรร งปม.'!K110</f>
        <v>0</v>
      </c>
      <c r="M5" s="5">
        <f>'จัดสรร งปม.'!L110</f>
        <v>0</v>
      </c>
      <c r="N5" s="5">
        <f>'จัดสรร งปม.'!M110</f>
        <v>0</v>
      </c>
      <c r="O5" s="5">
        <f>'จัดสรร งปม.'!N110</f>
        <v>0</v>
      </c>
      <c r="P5" s="5">
        <f>'จัดสรร งปม.'!O110</f>
        <v>0</v>
      </c>
      <c r="Q5" s="5">
        <f>'จัดสรร งปม.'!P110</f>
        <v>110</v>
      </c>
    </row>
    <row r="6" spans="1:17" x14ac:dyDescent="0.2">
      <c r="D6" s="4" t="s">
        <v>97</v>
      </c>
      <c r="E6" s="5">
        <f>SUM(E11:E45)</f>
        <v>10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10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งปม.'!$B$110</f>
        <v>910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งปม.'!$C$110</f>
        <v>โครงการป้องกันปัญหายาเสพติด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000-000000000000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งปม.'!D111</f>
        <v>111</v>
      </c>
      <c r="F5" s="5">
        <f>'จัดสรร งปม.'!E111</f>
        <v>0</v>
      </c>
      <c r="G5" s="5">
        <f>'จัดสรร งปม.'!F111</f>
        <v>0</v>
      </c>
      <c r="H5" s="5">
        <f>'จัดสรร งปม.'!G111</f>
        <v>0</v>
      </c>
      <c r="I5" s="5">
        <f>'จัดสรร งปม.'!H111</f>
        <v>0</v>
      </c>
      <c r="J5" s="5">
        <f>'จัดสรร งปม.'!I111</f>
        <v>0</v>
      </c>
      <c r="K5" s="5">
        <f>'จัดสรร งปม.'!J111</f>
        <v>0</v>
      </c>
      <c r="L5" s="5">
        <f>'จัดสรร งปม.'!K111</f>
        <v>0</v>
      </c>
      <c r="M5" s="5">
        <f>'จัดสรร งปม.'!L111</f>
        <v>0</v>
      </c>
      <c r="N5" s="5">
        <f>'จัดสรร งปม.'!M111</f>
        <v>0</v>
      </c>
      <c r="O5" s="5">
        <f>'จัดสรร งปม.'!N111</f>
        <v>0</v>
      </c>
      <c r="P5" s="5">
        <f>'จัดสรร งปม.'!O111</f>
        <v>0</v>
      </c>
      <c r="Q5" s="5">
        <f>'จัดสรร งปม.'!P111</f>
        <v>111</v>
      </c>
    </row>
    <row r="6" spans="1:17" x14ac:dyDescent="0.2">
      <c r="D6" s="4" t="s">
        <v>97</v>
      </c>
      <c r="E6" s="5">
        <f>SUM(E11:E45)</f>
        <v>11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11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งปม.'!$B$111</f>
        <v>911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งปม.'!$C$111</f>
        <v>สำรอง 1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11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100-000000000000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งปม.'!D112</f>
        <v>112</v>
      </c>
      <c r="F5" s="5">
        <f>'จัดสรร งปม.'!E112</f>
        <v>0</v>
      </c>
      <c r="G5" s="5">
        <f>'จัดสรร งปม.'!F112</f>
        <v>0</v>
      </c>
      <c r="H5" s="5">
        <f>'จัดสรร งปม.'!G112</f>
        <v>0</v>
      </c>
      <c r="I5" s="5">
        <f>'จัดสรร งปม.'!H112</f>
        <v>0</v>
      </c>
      <c r="J5" s="5">
        <f>'จัดสรร งปม.'!I112</f>
        <v>0</v>
      </c>
      <c r="K5" s="5">
        <f>'จัดสรร งปม.'!J112</f>
        <v>0</v>
      </c>
      <c r="L5" s="5">
        <f>'จัดสรร งปม.'!K112</f>
        <v>0</v>
      </c>
      <c r="M5" s="5">
        <f>'จัดสรร งปม.'!L112</f>
        <v>0</v>
      </c>
      <c r="N5" s="5">
        <f>'จัดสรร งปม.'!M112</f>
        <v>0</v>
      </c>
      <c r="O5" s="5">
        <f>'จัดสรร งปม.'!N112</f>
        <v>0</v>
      </c>
      <c r="P5" s="5">
        <f>'จัดสรร งปม.'!O112</f>
        <v>0</v>
      </c>
      <c r="Q5" s="5">
        <f>'จัดสรร งปม.'!P112</f>
        <v>112</v>
      </c>
    </row>
    <row r="6" spans="1:17" x14ac:dyDescent="0.2">
      <c r="D6" s="4" t="s">
        <v>97</v>
      </c>
      <c r="E6" s="5">
        <f>SUM(E11:E45)</f>
        <v>12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12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งปม.'!$B$112</f>
        <v>912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งปม.'!$C$112</f>
        <v>สำรอง 2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12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200-000000000000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งปม.'!D113</f>
        <v>113</v>
      </c>
      <c r="F5" s="5">
        <f>'จัดสรร งปม.'!E113</f>
        <v>0</v>
      </c>
      <c r="G5" s="5">
        <f>'จัดสรร งปม.'!F113</f>
        <v>0</v>
      </c>
      <c r="H5" s="5">
        <f>'จัดสรร งปม.'!G113</f>
        <v>0</v>
      </c>
      <c r="I5" s="5">
        <f>'จัดสรร งปม.'!H113</f>
        <v>0</v>
      </c>
      <c r="J5" s="5">
        <f>'จัดสรร งปม.'!I113</f>
        <v>0</v>
      </c>
      <c r="K5" s="5">
        <f>'จัดสรร งปม.'!J113</f>
        <v>0</v>
      </c>
      <c r="L5" s="5">
        <f>'จัดสรร งปม.'!K113</f>
        <v>0</v>
      </c>
      <c r="M5" s="5">
        <f>'จัดสรร งปม.'!L113</f>
        <v>0</v>
      </c>
      <c r="N5" s="5">
        <f>'จัดสรร งปม.'!M113</f>
        <v>0</v>
      </c>
      <c r="O5" s="5">
        <f>'จัดสรร งปม.'!N113</f>
        <v>0</v>
      </c>
      <c r="P5" s="5">
        <f>'จัดสรร งปม.'!O113</f>
        <v>0</v>
      </c>
      <c r="Q5" s="5">
        <f>'จัดสรร งปม.'!P113</f>
        <v>113</v>
      </c>
    </row>
    <row r="6" spans="1:17" x14ac:dyDescent="0.2">
      <c r="D6" s="4" t="s">
        <v>97</v>
      </c>
      <c r="E6" s="5">
        <f>SUM(E11:E45)</f>
        <v>13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13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งปม.'!$B$113</f>
        <v>913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งปม.'!$C$113</f>
        <v>สำรอง 3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13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300-000000000000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งปม.'!D114</f>
        <v>114</v>
      </c>
      <c r="F5" s="5">
        <f>'จัดสรร งปม.'!E114</f>
        <v>0</v>
      </c>
      <c r="G5" s="5">
        <f>'จัดสรร งปม.'!F114</f>
        <v>0</v>
      </c>
      <c r="H5" s="5">
        <f>'จัดสรร งปม.'!G114</f>
        <v>0</v>
      </c>
      <c r="I5" s="5">
        <f>'จัดสรร งปม.'!H114</f>
        <v>0</v>
      </c>
      <c r="J5" s="5">
        <f>'จัดสรร งปม.'!I114</f>
        <v>0</v>
      </c>
      <c r="K5" s="5">
        <f>'จัดสรร งปม.'!J114</f>
        <v>0</v>
      </c>
      <c r="L5" s="5">
        <f>'จัดสรร งปม.'!K114</f>
        <v>0</v>
      </c>
      <c r="M5" s="5">
        <f>'จัดสรร งปม.'!L114</f>
        <v>0</v>
      </c>
      <c r="N5" s="5">
        <f>'จัดสรร งปม.'!M114</f>
        <v>0</v>
      </c>
      <c r="O5" s="5">
        <f>'จัดสรร งปม.'!N114</f>
        <v>0</v>
      </c>
      <c r="P5" s="5">
        <f>'จัดสรร งปม.'!O114</f>
        <v>0</v>
      </c>
      <c r="Q5" s="5">
        <f>'จัดสรร งปม.'!P114</f>
        <v>114</v>
      </c>
    </row>
    <row r="6" spans="1:17" x14ac:dyDescent="0.2">
      <c r="D6" s="4" t="s">
        <v>97</v>
      </c>
      <c r="E6" s="5">
        <f>SUM(E11:E45)</f>
        <v>14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14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งปม.'!$B$114</f>
        <v>914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งปม.'!$C$114</f>
        <v>สำรอง 4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14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400-000000000000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งปม.'!D115</f>
        <v>115</v>
      </c>
      <c r="F5" s="5">
        <f>'จัดสรร งปม.'!E115</f>
        <v>0</v>
      </c>
      <c r="G5" s="5">
        <f>'จัดสรร งปม.'!F115</f>
        <v>0</v>
      </c>
      <c r="H5" s="5">
        <f>'จัดสรร งปม.'!G115</f>
        <v>0</v>
      </c>
      <c r="I5" s="5">
        <f>'จัดสรร งปม.'!H115</f>
        <v>0</v>
      </c>
      <c r="J5" s="5">
        <f>'จัดสรร งปม.'!I115</f>
        <v>0</v>
      </c>
      <c r="K5" s="5">
        <f>'จัดสรร งปม.'!J115</f>
        <v>0</v>
      </c>
      <c r="L5" s="5">
        <f>'จัดสรร งปม.'!K115</f>
        <v>0</v>
      </c>
      <c r="M5" s="5">
        <f>'จัดสรร งปม.'!L115</f>
        <v>0</v>
      </c>
      <c r="N5" s="5">
        <f>'จัดสรร งปม.'!M115</f>
        <v>0</v>
      </c>
      <c r="O5" s="5">
        <f>'จัดสรร งปม.'!N115</f>
        <v>0</v>
      </c>
      <c r="P5" s="5">
        <f>'จัดสรร งปม.'!O115</f>
        <v>0</v>
      </c>
      <c r="Q5" s="5">
        <f>'จัดสรร งปม.'!P115</f>
        <v>115</v>
      </c>
    </row>
    <row r="6" spans="1:17" x14ac:dyDescent="0.2">
      <c r="D6" s="4" t="s">
        <v>97</v>
      </c>
      <c r="E6" s="5">
        <f>SUM(E11:E45)</f>
        <v>15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15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งปม.'!$B$115</f>
        <v>915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งปม.'!$C$115</f>
        <v>สำรอง 5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15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500-000000000000}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งปม.'!D116</f>
        <v>116</v>
      </c>
      <c r="F5" s="5">
        <f>'จัดสรร งปม.'!E116</f>
        <v>0</v>
      </c>
      <c r="G5" s="5">
        <f>'จัดสรร งปม.'!F116</f>
        <v>0</v>
      </c>
      <c r="H5" s="5">
        <f>'จัดสรร งปม.'!G116</f>
        <v>0</v>
      </c>
      <c r="I5" s="5">
        <f>'จัดสรร งปม.'!H116</f>
        <v>0</v>
      </c>
      <c r="J5" s="5">
        <f>'จัดสรร งปม.'!I116</f>
        <v>0</v>
      </c>
      <c r="K5" s="5">
        <f>'จัดสรร งปม.'!J116</f>
        <v>0</v>
      </c>
      <c r="L5" s="5">
        <f>'จัดสรร งปม.'!K116</f>
        <v>0</v>
      </c>
      <c r="M5" s="5">
        <f>'จัดสรร งปม.'!L116</f>
        <v>0</v>
      </c>
      <c r="N5" s="5">
        <f>'จัดสรร งปม.'!M116</f>
        <v>0</v>
      </c>
      <c r="O5" s="5">
        <f>'จัดสรร งปม.'!N116</f>
        <v>0</v>
      </c>
      <c r="P5" s="5">
        <f>'จัดสรร งปม.'!O116</f>
        <v>0</v>
      </c>
      <c r="Q5" s="5">
        <f>'จัดสรร งปม.'!P116</f>
        <v>116</v>
      </c>
    </row>
    <row r="6" spans="1:17" x14ac:dyDescent="0.2">
      <c r="D6" s="4" t="s">
        <v>97</v>
      </c>
      <c r="E6" s="5">
        <f>SUM(E11:E45)</f>
        <v>16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16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งปม.'!$B$116</f>
        <v>916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งปม.'!$C$116</f>
        <v>สำรอง 6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16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600-000000000000}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งปม.'!D117</f>
        <v>117</v>
      </c>
      <c r="F5" s="5">
        <f>'จัดสรร งปม.'!E117</f>
        <v>0</v>
      </c>
      <c r="G5" s="5">
        <f>'จัดสรร งปม.'!F117</f>
        <v>0</v>
      </c>
      <c r="H5" s="5">
        <f>'จัดสรร งปม.'!G117</f>
        <v>0</v>
      </c>
      <c r="I5" s="5">
        <f>'จัดสรร งปม.'!H117</f>
        <v>0</v>
      </c>
      <c r="J5" s="5">
        <f>'จัดสรร งปม.'!I117</f>
        <v>0</v>
      </c>
      <c r="K5" s="5">
        <f>'จัดสรร งปม.'!J117</f>
        <v>0</v>
      </c>
      <c r="L5" s="5">
        <f>'จัดสรร งปม.'!K117</f>
        <v>0</v>
      </c>
      <c r="M5" s="5">
        <f>'จัดสรร งปม.'!L117</f>
        <v>0</v>
      </c>
      <c r="N5" s="5">
        <f>'จัดสรร งปม.'!M117</f>
        <v>0</v>
      </c>
      <c r="O5" s="5">
        <f>'จัดสรร งปม.'!N117</f>
        <v>0</v>
      </c>
      <c r="P5" s="5">
        <f>'จัดสรร งปม.'!O117</f>
        <v>0</v>
      </c>
      <c r="Q5" s="5">
        <f>'จัดสรร งปม.'!P117</f>
        <v>117</v>
      </c>
    </row>
    <row r="6" spans="1:17" x14ac:dyDescent="0.2">
      <c r="D6" s="4" t="s">
        <v>97</v>
      </c>
      <c r="E6" s="5">
        <f>SUM(E11:E45)</f>
        <v>17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17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งปม.'!$B$117</f>
        <v>917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งปม.'!$C$117</f>
        <v>สำรอง 7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17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700-000000000000}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งปม.'!D118</f>
        <v>118</v>
      </c>
      <c r="F5" s="5">
        <f>'จัดสรร งปม.'!E118</f>
        <v>0</v>
      </c>
      <c r="G5" s="5">
        <f>'จัดสรร งปม.'!F118</f>
        <v>0</v>
      </c>
      <c r="H5" s="5">
        <f>'จัดสรร งปม.'!G118</f>
        <v>0</v>
      </c>
      <c r="I5" s="5">
        <f>'จัดสรร งปม.'!H118</f>
        <v>0</v>
      </c>
      <c r="J5" s="5">
        <f>'จัดสรร งปม.'!I118</f>
        <v>0</v>
      </c>
      <c r="K5" s="5">
        <f>'จัดสรร งปม.'!J118</f>
        <v>0</v>
      </c>
      <c r="L5" s="5">
        <f>'จัดสรร งปม.'!K118</f>
        <v>0</v>
      </c>
      <c r="M5" s="5">
        <f>'จัดสรร งปม.'!L118</f>
        <v>0</v>
      </c>
      <c r="N5" s="5">
        <f>'จัดสรร งปม.'!M118</f>
        <v>0</v>
      </c>
      <c r="O5" s="5">
        <f>'จัดสรร งปม.'!N118</f>
        <v>0</v>
      </c>
      <c r="P5" s="5">
        <f>'จัดสรร งปม.'!O118</f>
        <v>0</v>
      </c>
      <c r="Q5" s="5">
        <f>'จัดสรร งปม.'!P118</f>
        <v>118</v>
      </c>
    </row>
    <row r="6" spans="1:17" x14ac:dyDescent="0.2">
      <c r="D6" s="4" t="s">
        <v>97</v>
      </c>
      <c r="E6" s="5">
        <f>SUM(E11:E45)</f>
        <v>18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18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งปม.'!$B$118</f>
        <v>918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งปม.'!$C$118</f>
        <v>สำรอง 8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18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800-000000000000}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Q45"/>
  <sheetViews>
    <sheetView showGridLines="0" workbookViewId="0">
      <pane ySplit="10" topLeftCell="A11" activePane="bottomLeft" state="frozen"/>
      <selection pane="bottomLeft" activeCell="B7" sqref="B7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งปม.'!D119</f>
        <v>119</v>
      </c>
      <c r="F5" s="5">
        <f>'จัดสรร งปม.'!E119</f>
        <v>0</v>
      </c>
      <c r="G5" s="5">
        <f>'จัดสรร งปม.'!F119</f>
        <v>0</v>
      </c>
      <c r="H5" s="5">
        <f>'จัดสรร งปม.'!G119</f>
        <v>0</v>
      </c>
      <c r="I5" s="5">
        <f>'จัดสรร งปม.'!H119</f>
        <v>0</v>
      </c>
      <c r="J5" s="5">
        <f>'จัดสรร งปม.'!I119</f>
        <v>0</v>
      </c>
      <c r="K5" s="5">
        <f>'จัดสรร งปม.'!J119</f>
        <v>0</v>
      </c>
      <c r="L5" s="5">
        <f>'จัดสรร งปม.'!K119</f>
        <v>0</v>
      </c>
      <c r="M5" s="5">
        <f>'จัดสรร งปม.'!L119</f>
        <v>0</v>
      </c>
      <c r="N5" s="5">
        <f>'จัดสรร งปม.'!M119</f>
        <v>0</v>
      </c>
      <c r="O5" s="5">
        <f>'จัดสรร งปม.'!N119</f>
        <v>0</v>
      </c>
      <c r="P5" s="5">
        <f>'จัดสรร งปม.'!O119</f>
        <v>0</v>
      </c>
      <c r="Q5" s="5">
        <f>'จัดสรร งปม.'!P119</f>
        <v>119</v>
      </c>
    </row>
    <row r="6" spans="1:17" x14ac:dyDescent="0.2">
      <c r="D6" s="4" t="s">
        <v>97</v>
      </c>
      <c r="E6" s="5">
        <f>SUM(E11:E45)</f>
        <v>19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19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งปม.'!$B$119</f>
        <v>919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งปม.'!$C$119</f>
        <v>สำรอง 9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19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19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900-000000000000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Q45"/>
  <sheetViews>
    <sheetView showGridLines="0" workbookViewId="0">
      <pane ySplit="10" topLeftCell="A11" activePane="bottomLeft" state="frozen"/>
      <selection pane="bottomLeft" sqref="A1:B1"/>
    </sheetView>
  </sheetViews>
  <sheetFormatPr defaultRowHeight="12.75" x14ac:dyDescent="0.2"/>
  <cols>
    <col min="1" max="1" width="4.125" style="1" customWidth="1"/>
    <col min="2" max="2" width="12.625" style="1" customWidth="1"/>
    <col min="3" max="3" width="14.125" style="1" customWidth="1"/>
    <col min="4" max="4" width="15.25" style="1" customWidth="1"/>
    <col min="5" max="16384" width="9" style="1"/>
  </cols>
  <sheetData>
    <row r="1" spans="1:17" x14ac:dyDescent="0.2">
      <c r="A1" s="67" t="s">
        <v>142</v>
      </c>
      <c r="B1" s="67"/>
    </row>
    <row r="2" spans="1:17" x14ac:dyDescent="0.2">
      <c r="E2" s="15" t="str">
        <f>Note!$B$1</f>
        <v>วิทยาลัยการอาชีพแม่สะเรียง</v>
      </c>
    </row>
    <row r="3" spans="1:17" x14ac:dyDescent="0.2">
      <c r="E3" s="57" t="s">
        <v>13</v>
      </c>
      <c r="F3" s="57"/>
      <c r="G3" s="57"/>
      <c r="H3" s="62" t="s">
        <v>14</v>
      </c>
      <c r="I3" s="63"/>
      <c r="J3" s="63"/>
      <c r="K3" s="63"/>
      <c r="L3" s="63"/>
      <c r="M3" s="64"/>
      <c r="N3" s="2" t="s">
        <v>16</v>
      </c>
      <c r="O3" s="55" t="s">
        <v>15</v>
      </c>
      <c r="P3" s="55"/>
      <c r="Q3" s="56" t="s">
        <v>10</v>
      </c>
    </row>
    <row r="4" spans="1:17" x14ac:dyDescent="0.2">
      <c r="E4" s="2" t="s">
        <v>0</v>
      </c>
      <c r="F4" s="2" t="s">
        <v>1</v>
      </c>
      <c r="G4" s="2" t="s">
        <v>2</v>
      </c>
      <c r="H4" s="2" t="s">
        <v>11</v>
      </c>
      <c r="I4" s="2" t="s">
        <v>3</v>
      </c>
      <c r="J4" s="2" t="s">
        <v>4</v>
      </c>
      <c r="K4" s="2" t="s">
        <v>6</v>
      </c>
      <c r="L4" s="2" t="s">
        <v>5</v>
      </c>
      <c r="M4" s="2" t="s">
        <v>7</v>
      </c>
      <c r="N4" s="3" t="s">
        <v>12</v>
      </c>
      <c r="O4" s="2" t="s">
        <v>8</v>
      </c>
      <c r="P4" s="2" t="s">
        <v>9</v>
      </c>
      <c r="Q4" s="56"/>
    </row>
    <row r="5" spans="1:17" x14ac:dyDescent="0.2">
      <c r="D5" s="4" t="s">
        <v>101</v>
      </c>
      <c r="E5" s="5">
        <f>'จัดสรร งปม.'!D120</f>
        <v>120</v>
      </c>
      <c r="F5" s="5">
        <f>'จัดสรร งปม.'!E120</f>
        <v>0</v>
      </c>
      <c r="G5" s="5">
        <f>'จัดสรร งปม.'!F120</f>
        <v>0</v>
      </c>
      <c r="H5" s="5">
        <f>'จัดสรร งปม.'!G120</f>
        <v>0</v>
      </c>
      <c r="I5" s="5">
        <f>'จัดสรร งปม.'!H120</f>
        <v>0</v>
      </c>
      <c r="J5" s="5">
        <f>'จัดสรร งปม.'!I120</f>
        <v>0</v>
      </c>
      <c r="K5" s="5">
        <f>'จัดสรร งปม.'!J120</f>
        <v>0</v>
      </c>
      <c r="L5" s="5">
        <f>'จัดสรร งปม.'!K120</f>
        <v>0</v>
      </c>
      <c r="M5" s="5">
        <f>'จัดสรร งปม.'!L120</f>
        <v>0</v>
      </c>
      <c r="N5" s="5">
        <f>'จัดสรร งปม.'!M120</f>
        <v>0</v>
      </c>
      <c r="O5" s="5">
        <f>'จัดสรร งปม.'!N120</f>
        <v>0</v>
      </c>
      <c r="P5" s="5">
        <f>'จัดสรร งปม.'!O120</f>
        <v>0</v>
      </c>
      <c r="Q5" s="5">
        <f>'จัดสรร งปม.'!P120</f>
        <v>120</v>
      </c>
    </row>
    <row r="6" spans="1:17" x14ac:dyDescent="0.2">
      <c r="D6" s="4" t="s">
        <v>97</v>
      </c>
      <c r="E6" s="5">
        <f>SUM(E11:E45)</f>
        <v>20</v>
      </c>
      <c r="F6" s="5">
        <f t="shared" ref="F6:Q6" si="0">SUM(F11:F45)</f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20</v>
      </c>
    </row>
    <row r="7" spans="1:17" x14ac:dyDescent="0.2">
      <c r="B7" s="51" t="s">
        <v>16</v>
      </c>
      <c r="C7" s="6"/>
      <c r="D7" s="4" t="s">
        <v>99</v>
      </c>
      <c r="E7" s="5">
        <f>E5-E6</f>
        <v>100</v>
      </c>
      <c r="F7" s="5">
        <f t="shared" ref="F7:Q7" si="1">F5-F6</f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100</v>
      </c>
    </row>
    <row r="8" spans="1:17" x14ac:dyDescent="0.2">
      <c r="B8" s="4" t="s">
        <v>102</v>
      </c>
      <c r="C8" s="6">
        <f>'จัดสรร งปม.'!$B$120</f>
        <v>920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B9" s="4" t="s">
        <v>103</v>
      </c>
      <c r="C9" s="66" t="str">
        <f>'จัดสรร งปม.'!$C$120</f>
        <v>สำรอง 10</v>
      </c>
      <c r="D9" s="66"/>
      <c r="E9" s="66"/>
      <c r="F9" s="66"/>
      <c r="G9" s="66"/>
      <c r="H9" s="65"/>
      <c r="I9" s="65"/>
      <c r="J9" s="65"/>
      <c r="K9" s="65"/>
      <c r="L9" s="65"/>
      <c r="M9" s="65"/>
      <c r="N9" s="8"/>
      <c r="O9" s="65"/>
      <c r="P9" s="65"/>
      <c r="Q9" s="9"/>
    </row>
    <row r="10" spans="1:17" x14ac:dyDescent="0.2">
      <c r="A10" s="10" t="s">
        <v>104</v>
      </c>
      <c r="B10" s="10" t="s">
        <v>105</v>
      </c>
      <c r="C10" s="10" t="s">
        <v>106</v>
      </c>
      <c r="D10" s="10" t="s">
        <v>107</v>
      </c>
      <c r="E10" s="2" t="s">
        <v>0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4</v>
      </c>
      <c r="K10" s="2" t="s">
        <v>6</v>
      </c>
      <c r="L10" s="2" t="s">
        <v>5</v>
      </c>
      <c r="M10" s="2" t="s">
        <v>7</v>
      </c>
      <c r="N10" s="10" t="s">
        <v>12</v>
      </c>
      <c r="O10" s="2" t="s">
        <v>8</v>
      </c>
      <c r="P10" s="2" t="s">
        <v>9</v>
      </c>
      <c r="Q10" s="11" t="s">
        <v>10</v>
      </c>
    </row>
    <row r="11" spans="1:17" x14ac:dyDescent="0.2">
      <c r="A11" s="3" t="s">
        <v>108</v>
      </c>
      <c r="B11" s="12"/>
      <c r="C11" s="13"/>
      <c r="D11" s="13"/>
      <c r="E11" s="5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f>SUM(E11:P11)</f>
        <v>20</v>
      </c>
    </row>
    <row r="12" spans="1:17" x14ac:dyDescent="0.2">
      <c r="A12" s="14" t="s">
        <v>109</v>
      </c>
      <c r="B12" s="12"/>
      <c r="C12" s="13"/>
      <c r="D12" s="1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f t="shared" ref="Q12:Q45" si="2">SUM(E12:P12)</f>
        <v>0</v>
      </c>
    </row>
    <row r="13" spans="1:17" x14ac:dyDescent="0.2">
      <c r="A13" s="14" t="s">
        <v>110</v>
      </c>
      <c r="B13" s="12"/>
      <c r="C13" s="13"/>
      <c r="D13" s="1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f t="shared" si="2"/>
        <v>0</v>
      </c>
    </row>
    <row r="14" spans="1:17" x14ac:dyDescent="0.2">
      <c r="A14" s="14" t="s">
        <v>111</v>
      </c>
      <c r="B14" s="12"/>
      <c r="C14" s="13"/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f t="shared" si="2"/>
        <v>0</v>
      </c>
    </row>
    <row r="15" spans="1:17" x14ac:dyDescent="0.2">
      <c r="A15" s="14" t="s">
        <v>112</v>
      </c>
      <c r="B15" s="12"/>
      <c r="C15" s="13"/>
      <c r="D15" s="1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f t="shared" si="2"/>
        <v>0</v>
      </c>
    </row>
    <row r="16" spans="1:17" x14ac:dyDescent="0.2">
      <c r="A16" s="14" t="s">
        <v>113</v>
      </c>
      <c r="B16" s="12"/>
      <c r="C16" s="13"/>
      <c r="D16" s="1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f t="shared" si="2"/>
        <v>0</v>
      </c>
    </row>
    <row r="17" spans="1:17" x14ac:dyDescent="0.2">
      <c r="A17" s="14" t="s">
        <v>114</v>
      </c>
      <c r="B17" s="12"/>
      <c r="C17" s="13"/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f t="shared" si="2"/>
        <v>0</v>
      </c>
    </row>
    <row r="18" spans="1:17" x14ac:dyDescent="0.2">
      <c r="A18" s="14" t="s">
        <v>115</v>
      </c>
      <c r="B18" s="12"/>
      <c r="C18" s="13"/>
      <c r="D18" s="1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f t="shared" si="2"/>
        <v>0</v>
      </c>
    </row>
    <row r="19" spans="1:17" x14ac:dyDescent="0.2">
      <c r="A19" s="14" t="s">
        <v>116</v>
      </c>
      <c r="B19" s="12"/>
      <c r="C19" s="13"/>
      <c r="D19" s="1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f t="shared" si="2"/>
        <v>0</v>
      </c>
    </row>
    <row r="20" spans="1:17" x14ac:dyDescent="0.2">
      <c r="A20" s="14" t="s">
        <v>117</v>
      </c>
      <c r="B20" s="12"/>
      <c r="C20" s="13"/>
      <c r="D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f t="shared" si="2"/>
        <v>0</v>
      </c>
    </row>
    <row r="21" spans="1:17" x14ac:dyDescent="0.2">
      <c r="A21" s="14" t="s">
        <v>118</v>
      </c>
      <c r="B21" s="12"/>
      <c r="C21" s="13"/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2"/>
        <v>0</v>
      </c>
    </row>
    <row r="22" spans="1:17" x14ac:dyDescent="0.2">
      <c r="A22" s="14" t="s">
        <v>119</v>
      </c>
      <c r="B22" s="12"/>
      <c r="C22" s="13"/>
      <c r="D22" s="1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 t="shared" si="2"/>
        <v>0</v>
      </c>
    </row>
    <row r="23" spans="1:17" x14ac:dyDescent="0.2">
      <c r="A23" s="14" t="s">
        <v>120</v>
      </c>
      <c r="B23" s="12"/>
      <c r="C23" s="13"/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f t="shared" si="2"/>
        <v>0</v>
      </c>
    </row>
    <row r="24" spans="1:17" x14ac:dyDescent="0.2">
      <c r="A24" s="14" t="s">
        <v>121</v>
      </c>
      <c r="B24" s="12"/>
      <c r="C24" s="13"/>
      <c r="D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f t="shared" si="2"/>
        <v>0</v>
      </c>
    </row>
    <row r="25" spans="1:17" x14ac:dyDescent="0.2">
      <c r="A25" s="14" t="s">
        <v>122</v>
      </c>
      <c r="B25" s="12"/>
      <c r="C25" s="13"/>
      <c r="D25" s="1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f t="shared" si="2"/>
        <v>0</v>
      </c>
    </row>
    <row r="26" spans="1:17" x14ac:dyDescent="0.2">
      <c r="A26" s="14" t="s">
        <v>123</v>
      </c>
      <c r="B26" s="12"/>
      <c r="C26" s="13"/>
      <c r="D26" s="1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f t="shared" si="2"/>
        <v>0</v>
      </c>
    </row>
    <row r="27" spans="1:17" x14ac:dyDescent="0.2">
      <c r="A27" s="14" t="s">
        <v>124</v>
      </c>
      <c r="B27" s="12"/>
      <c r="C27" s="13"/>
      <c r="D27" s="1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f t="shared" si="2"/>
        <v>0</v>
      </c>
    </row>
    <row r="28" spans="1:17" x14ac:dyDescent="0.2">
      <c r="A28" s="14" t="s">
        <v>125</v>
      </c>
      <c r="B28" s="12"/>
      <c r="C28" s="13"/>
      <c r="D28" s="1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f t="shared" si="2"/>
        <v>0</v>
      </c>
    </row>
    <row r="29" spans="1:17" x14ac:dyDescent="0.2">
      <c r="A29" s="14" t="s">
        <v>126</v>
      </c>
      <c r="B29" s="12"/>
      <c r="C29" s="13"/>
      <c r="D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f t="shared" si="2"/>
        <v>0</v>
      </c>
    </row>
    <row r="30" spans="1:17" x14ac:dyDescent="0.2">
      <c r="A30" s="14" t="s">
        <v>127</v>
      </c>
      <c r="B30" s="12"/>
      <c r="C30" s="13"/>
      <c r="D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f t="shared" si="2"/>
        <v>0</v>
      </c>
    </row>
    <row r="31" spans="1:17" x14ac:dyDescent="0.2">
      <c r="A31" s="14" t="s">
        <v>128</v>
      </c>
      <c r="B31" s="12"/>
      <c r="C31" s="13"/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f t="shared" si="2"/>
        <v>0</v>
      </c>
    </row>
    <row r="32" spans="1:17" x14ac:dyDescent="0.2">
      <c r="A32" s="14" t="s">
        <v>129</v>
      </c>
      <c r="B32" s="12"/>
      <c r="C32" s="13"/>
      <c r="D32" s="1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f t="shared" si="2"/>
        <v>0</v>
      </c>
    </row>
    <row r="33" spans="1:17" x14ac:dyDescent="0.2">
      <c r="A33" s="14" t="s">
        <v>130</v>
      </c>
      <c r="B33" s="12"/>
      <c r="C33" s="13"/>
      <c r="D33" s="1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f t="shared" si="2"/>
        <v>0</v>
      </c>
    </row>
    <row r="34" spans="1:17" x14ac:dyDescent="0.2">
      <c r="A34" s="14" t="s">
        <v>131</v>
      </c>
      <c r="B34" s="12"/>
      <c r="C34" s="13"/>
      <c r="D34" s="1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f t="shared" si="2"/>
        <v>0</v>
      </c>
    </row>
    <row r="35" spans="1:17" x14ac:dyDescent="0.2">
      <c r="A35" s="14" t="s">
        <v>132</v>
      </c>
      <c r="B35" s="12"/>
      <c r="C35" s="13"/>
      <c r="D35" s="1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f t="shared" si="2"/>
        <v>0</v>
      </c>
    </row>
    <row r="36" spans="1:17" x14ac:dyDescent="0.2">
      <c r="A36" s="14" t="s">
        <v>133</v>
      </c>
      <c r="B36" s="12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f t="shared" si="2"/>
        <v>0</v>
      </c>
    </row>
    <row r="37" spans="1:17" x14ac:dyDescent="0.2">
      <c r="A37" s="14" t="s">
        <v>134</v>
      </c>
      <c r="B37" s="12"/>
      <c r="C37" s="13"/>
      <c r="D37" s="1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f t="shared" si="2"/>
        <v>0</v>
      </c>
    </row>
    <row r="38" spans="1:17" x14ac:dyDescent="0.2">
      <c r="A38" s="14" t="s">
        <v>135</v>
      </c>
      <c r="B38" s="12"/>
      <c r="C38" s="1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f t="shared" si="2"/>
        <v>0</v>
      </c>
    </row>
    <row r="39" spans="1:17" x14ac:dyDescent="0.2">
      <c r="A39" s="14" t="s">
        <v>136</v>
      </c>
      <c r="B39" s="12"/>
      <c r="C39" s="1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f t="shared" si="2"/>
        <v>0</v>
      </c>
    </row>
    <row r="40" spans="1:17" x14ac:dyDescent="0.2">
      <c r="A40" s="14" t="s">
        <v>127</v>
      </c>
      <c r="B40" s="12"/>
      <c r="C40" s="1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f t="shared" si="2"/>
        <v>0</v>
      </c>
    </row>
    <row r="41" spans="1:17" x14ac:dyDescent="0.2">
      <c r="A41" s="14" t="s">
        <v>137</v>
      </c>
      <c r="B41" s="12"/>
      <c r="C41" s="1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 t="shared" si="2"/>
        <v>0</v>
      </c>
    </row>
    <row r="42" spans="1:17" x14ac:dyDescent="0.2">
      <c r="A42" s="14" t="s">
        <v>138</v>
      </c>
      <c r="B42" s="12"/>
      <c r="C42" s="1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f t="shared" si="2"/>
        <v>0</v>
      </c>
    </row>
    <row r="43" spans="1:17" x14ac:dyDescent="0.2">
      <c r="A43" s="14" t="s">
        <v>139</v>
      </c>
      <c r="B43" s="12"/>
      <c r="C43" s="1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f t="shared" si="2"/>
        <v>0</v>
      </c>
    </row>
    <row r="44" spans="1:17" x14ac:dyDescent="0.2">
      <c r="A44" s="14" t="s">
        <v>140</v>
      </c>
      <c r="B44" s="12"/>
      <c r="C44" s="13"/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f t="shared" si="2"/>
        <v>0</v>
      </c>
    </row>
    <row r="45" spans="1:17" x14ac:dyDescent="0.2">
      <c r="A45" s="14" t="s">
        <v>141</v>
      </c>
      <c r="B45" s="12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f t="shared" si="2"/>
        <v>0</v>
      </c>
    </row>
  </sheetData>
  <mergeCells count="8">
    <mergeCell ref="Q3:Q4"/>
    <mergeCell ref="C9:G9"/>
    <mergeCell ref="H9:M9"/>
    <mergeCell ref="O9:P9"/>
    <mergeCell ref="A1:B1"/>
    <mergeCell ref="E3:G3"/>
    <mergeCell ref="H3:M3"/>
    <mergeCell ref="O3:P3"/>
  </mergeCells>
  <hyperlinks>
    <hyperlink ref="A1:B1" location="'จัดสรร งปม.'!A1" display="กลับไปที่หน้าจัดสรร งปม." xr:uid="{00000000-0004-0000-6A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107</vt:i4>
      </vt:variant>
    </vt:vector>
  </HeadingPairs>
  <TitlesOfParts>
    <vt:vector size="107" baseType="lpstr">
      <vt:lpstr>Note</vt:lpstr>
      <vt:lpstr>ประมาณการายจ่าย</vt:lpstr>
      <vt:lpstr>งปม.เข้า</vt:lpstr>
      <vt:lpstr>จัดสรร งปม.</vt:lpstr>
      <vt:lpstr>101</vt:lpstr>
      <vt:lpstr>102</vt:lpstr>
      <vt:lpstr>103</vt:lpstr>
      <vt:lpstr>104</vt:lpstr>
      <vt:lpstr>105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501</vt:lpstr>
      <vt:lpstr>502</vt:lpstr>
      <vt:lpstr>503</vt:lpstr>
      <vt:lpstr>504</vt:lpstr>
      <vt:lpstr>505</vt:lpstr>
      <vt:lpstr>506</vt:lpstr>
      <vt:lpstr>507</vt:lpstr>
      <vt:lpstr>508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701</vt:lpstr>
      <vt:lpstr>702</vt:lpstr>
      <vt:lpstr>703</vt:lpstr>
      <vt:lpstr>704</vt:lpstr>
      <vt:lpstr>705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ThinkCentre</cp:lastModifiedBy>
  <dcterms:created xsi:type="dcterms:W3CDTF">2022-01-21T06:08:19Z</dcterms:created>
  <dcterms:modified xsi:type="dcterms:W3CDTF">2025-12-15T04:17:29Z</dcterms:modified>
</cp:coreProperties>
</file>